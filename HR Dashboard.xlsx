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mc:AlternateContent xmlns:mc="http://schemas.openxmlformats.org/markup-compatibility/2006">
    <mc:Choice Requires="x15">
      <x15ac:absPath xmlns:x15ac="http://schemas.microsoft.com/office/spreadsheetml/2010/11/ac" url="C:\Users\Admin\Desktop\Ingrade\Excel\"/>
    </mc:Choice>
  </mc:AlternateContent>
  <xr:revisionPtr revIDLastSave="0" documentId="13_ncr:1_{7C17F1D8-B2A3-457E-8EBB-31E7B9E9190D}" xr6:coauthVersionLast="40" xr6:coauthVersionMax="40" xr10:uidLastSave="{00000000-0000-0000-0000-000000000000}"/>
  <bookViews>
    <workbookView xWindow="0" yWindow="0" windowWidth="20490" windowHeight="7425" activeTab="2" xr2:uid="{408BA6AB-5196-496B-9C80-B057CC378CDA}"/>
  </bookViews>
  <sheets>
    <sheet name="Pivot" sheetId="3" r:id="rId1"/>
    <sheet name="Data" sheetId="1" r:id="rId2"/>
    <sheet name="Dashboard" sheetId="2"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1" i="3" l="1"/>
  <c r="Q12" i="3"/>
  <c r="Q10" i="3"/>
  <c r="P10" i="3"/>
  <c r="P11" i="3"/>
  <c r="P12" i="3"/>
  <c r="J14" i="3"/>
  <c r="J13" i="3"/>
  <c r="B10" i="3"/>
  <c r="F15" i="3"/>
  <c r="F14" i="3"/>
  <c r="F13" i="3"/>
  <c r="F12" i="3"/>
  <c r="F11" i="3"/>
  <c r="B9" i="3"/>
  <c r="B11" i="3"/>
  <c r="B12" i="3" l="1"/>
  <c r="F16" i="3"/>
  <c r="K14" i="3"/>
  <c r="J15" i="3"/>
  <c r="K13" i="3"/>
</calcChain>
</file>

<file path=xl/sharedStrings.xml><?xml version="1.0" encoding="utf-8"?>
<sst xmlns="http://schemas.openxmlformats.org/spreadsheetml/2006/main" count="851" uniqueCount="227">
  <si>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</si>
  <si>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</si>
  <si>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</si>
  <si>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</si>
  <si>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</si>
  <si>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</si>
  <si>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</si>
  <si>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</si>
  <si>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</si>
  <si>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</si>
  <si>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</si>
  <si>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</si>
  <si>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</si>
  <si>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</si>
  <si>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</si>
  <si>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</si>
  <si>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</si>
  <si>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</si>
  <si>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</si>
  <si>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</si>
  <si>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</si>
  <si>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</si>
  <si>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</si>
  <si>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</si>
  <si>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</si>
  <si>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</si>
  <si>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</si>
  <si>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</si>
  <si>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</si>
  <si>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</si>
  <si>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</si>
  <si>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</si>
  <si>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</si>
  <si>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</si>
  <si>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</si>
  <si>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</si>
  <si>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</si>
  <si>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</si>
  <si>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</si>
  <si>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</si>
  <si>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</si>
  <si>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</si>
  <si>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</si>
  <si>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</si>
  <si>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</si>
  <si>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</si>
  <si>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</si>
  <si>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</si>
  <si>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</si>
  <si>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</si>
  <si>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</si>
  <si>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</si>
  <si>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</si>
  <si>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</si>
  <si>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</si>
  <si>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</si>
  <si>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</si>
  <si>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</si>
  <si>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</si>
  <si>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</si>
  <si>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</si>
  <si>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</si>
  <si>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</si>
  <si>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</si>
  <si>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</si>
  <si>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</si>
  <si>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</si>
  <si>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</si>
  <si>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</si>
  <si>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</si>
  <si>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</si>
  <si>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</si>
  <si>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</si>
  <si>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</si>
  <si>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</si>
  <si>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</si>
  <si>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</si>
  <si>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</si>
  <si>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</si>
  <si>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</si>
  <si>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</si>
  <si>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</si>
  <si>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</si>
  <si>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</si>
  <si>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</si>
  <si>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</si>
  <si>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</si>
  <si>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</si>
  <si>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</si>
  <si>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</si>
  <si>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</si>
  <si>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</si>
  <si>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</si>
  <si>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</si>
  <si>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</si>
  <si>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</si>
  <si>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</si>
  <si>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</si>
  <si>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</si>
  <si>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</si>
  <si>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</si>
  <si>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</si>
  <si>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</si>
  <si>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</si>
  <si>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</si>
  <si>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</si>
  <si>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</si>
  <si>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</si>
  <si>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</si>
  <si>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</si>
  <si>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</si>
  <si>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</si>
  <si>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</si>
  <si>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</si>
  <si>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</si>
  <si>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</si>
  <si>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</si>
  <si>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</si>
  <si>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</si>
  <si>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</si>
  <si>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</si>
  <si>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</si>
  <si>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</si>
  <si>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</si>
  <si>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</si>
  <si>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</si>
  <si>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</si>
  <si>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</si>
  <si>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</si>
  <si>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</si>
  <si>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</si>
  <si>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</si>
  <si>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</si>
  <si>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</si>
  <si>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</si>
  <si>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</si>
  <si>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</si>
  <si>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</si>
  <si>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</si>
  <si>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</si>
  <si>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</si>
  <si>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</si>
  <si>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</si>
  <si>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</si>
  <si>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</si>
  <si>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</si>
  <si>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</si>
  <si>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</si>
  <si>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</si>
  <si>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</si>
  <si>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</si>
  <si>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</si>
  <si>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</si>
  <si>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</si>
  <si>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</si>
  <si>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</si>
  <si>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</si>
  <si>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</si>
  <si>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</si>
  <si>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</si>
  <si>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</si>
  <si>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</si>
  <si>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</si>
  <si>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</si>
  <si>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</si>
  <si>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</si>
  <si>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</si>
  <si>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</si>
  <si>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</si>
  <si>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</si>
  <si>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</si>
  <si>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</si>
  <si>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</si>
  <si>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</si>
  <si>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</si>
  <si>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</si>
  <si>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</si>
  <si>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</si>
  <si>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</si>
  <si>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</si>
  <si>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</si>
  <si>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</si>
  <si>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</si>
  <si>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</si>
  <si>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</si>
  <si>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</si>
  <si>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</si>
  <si>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</si>
  <si>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</si>
  <si>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</si>
  <si>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</si>
  <si>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</si>
  <si>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</si>
  <si>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</si>
  <si>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</si>
  <si>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</si>
  <si>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</si>
  <si>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</si>
  <si>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</si>
  <si>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</si>
  <si>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</si>
  <si>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</si>
  <si>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</si>
  <si>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</si>
  <si>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</si>
  <si>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</si>
  <si>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</si>
  <si>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</si>
  <si>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</si>
  <si>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</si>
  <si>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</si>
  <si>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</si>
  <si>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</si>
  <si>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</si>
  <si>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Count of Full Name</t>
  </si>
  <si>
    <t>Row Labels</t>
  </si>
  <si>
    <t>Grand Total</t>
  </si>
  <si>
    <t>Number of employee to employee status</t>
  </si>
  <si>
    <t>total</t>
  </si>
  <si>
    <t>Sum of Salary</t>
  </si>
  <si>
    <t>Salaries to departments</t>
  </si>
  <si>
    <t>Column Labels</t>
  </si>
  <si>
    <t>Age range to gender</t>
  </si>
  <si>
    <t>female</t>
  </si>
  <si>
    <t>workplace</t>
  </si>
  <si>
    <t>Sum of Leave Taken</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</si>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</sst>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8">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b/>
      <sz val="11"/>
      <color theme="0"/>
      <name val="Aptos Narrow"/>
      <scheme val="minor"/>
    </font>
    <font>
      <sz val="11"/>
      <color theme="1"/>
      <name val="Aptos Narrow"/>
      <family val="2"/>
      <scheme val="minor"/>
    </font>
    <font>
      <b/>
      <sz val="11"/>
      <color theme="1"/>
      <name val="Aptos Narrow"/>
      <family val="2"/>
      <scheme val="minor"/>
    </font>
    <font>
      <sz val="11"/>
      <color theme="1"/>
      <name val="Aptos Narrow"/>
      <scheme val="minor"/>
    </font>
  </fonts>
  <fills count="7">
    <fill>
      <patternFill patternType="none"/>
    </fill>
    <fill>
      <patternFill patternType="gray125"/>
    </fill>
    <fill>
      <patternFill patternType="solid">
        <fgColor rgb="FF282828"/>
        <bgColor indexed="64"/>
      </patternFill>
    </fill>
    <fill>
      <patternFill patternType="solid">
        <fgColor theme="1" tint="0.34998626667073579"/>
        <bgColor indexed="64"/>
      </patternFill>
    </fill>
    <fill>
      <patternFill patternType="solid">
        <fgColor theme="1" tint="0.14999847407452621"/>
        <bgColor indexed="64"/>
      </patternFill>
    </fill>
    <fill>
      <patternFill patternType="solid">
        <fgColor theme="4" tint="0.79998168889431442"/>
        <bgColor theme="4" tint="0.79998168889431442"/>
      </patternFill>
    </fill>
    <fill>
      <patternFill patternType="solid">
        <fgColor theme="1"/>
        <bgColor indexed="64"/>
      </patternFill>
    </fill>
  </fills>
  <borders count="3">
    <border>
      <left/>
      <right/>
      <top/>
      <bottom/>
      <diagonal/>
    </border>
    <border>
      <left/>
      <right/>
      <top style="thin">
        <color theme="1" tint="0.499984740745262"/>
      </top>
      <bottom style="thin">
        <color theme="1" tint="0.499984740745262"/>
      </bottom>
      <diagonal/>
    </border>
    <border>
      <left/>
      <right/>
      <top style="thin">
        <color theme="4" tint="0.39997558519241921"/>
      </top>
      <bottom/>
      <diagonal/>
    </border>
  </borders>
  <cellStyleXfs count="2">
    <xf numFmtId="0" fontId="0" fillId="0" borderId="0"/>
    <xf numFmtId="9" fontId="5" fillId="0" borderId="0" applyFont="0" applyFill="0" applyBorder="0" applyAlignment="0" applyProtection="0"/>
  </cellStyleXfs>
  <cellXfs count="17">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3" borderId="0" xfId="0" applyFill="1"/>
    <xf numFmtId="0" fontId="0" fillId="0" borderId="0" xfId="0" applyNumberFormat="1"/>
    <xf numFmtId="0" fontId="0" fillId="0" borderId="0" xfId="0" pivotButton="1"/>
    <xf numFmtId="0" fontId="0" fillId="0" borderId="0" xfId="0" applyAlignment="1">
      <alignment horizontal="left"/>
    </xf>
    <xf numFmtId="0" fontId="4" fillId="4" borderId="0" xfId="0" applyFont="1" applyFill="1" applyAlignment="1">
      <alignment horizontal="center" vertical="center"/>
    </xf>
    <xf numFmtId="0" fontId="4" fillId="4" borderId="0" xfId="0" applyFont="1" applyFill="1" applyAlignment="1">
      <alignment horizontal="center"/>
    </xf>
    <xf numFmtId="0" fontId="6" fillId="5" borderId="2" xfId="0" applyNumberFormat="1" applyFont="1" applyFill="1" applyBorder="1"/>
    <xf numFmtId="9" fontId="7" fillId="0" borderId="0" xfId="1" applyFont="1"/>
    <xf numFmtId="9" fontId="0" fillId="0" borderId="0" xfId="0" applyNumberFormat="1"/>
    <xf numFmtId="164" fontId="0" fillId="0" borderId="0" xfId="0" applyNumberFormat="1"/>
    <xf numFmtId="0" fontId="4" fillId="4" borderId="0" xfId="0" applyFont="1" applyFill="1" applyAlignment="1">
      <alignment vertical="center"/>
    </xf>
    <xf numFmtId="0" fontId="4" fillId="6" borderId="0" xfId="0" applyFont="1" applyFill="1" applyAlignment="1">
      <alignment horizontal="center"/>
    </xf>
    <xf numFmtId="0" fontId="4" fillId="4" borderId="0" xfId="0" applyFont="1" applyFill="1" applyAlignment="1">
      <alignment horizontal="center"/>
    </xf>
  </cellXfs>
  <cellStyles count="2">
    <cellStyle name="Normal" xfId="0" builtinId="0"/>
    <cellStyle name="Percent" xfId="1" builtinId="5"/>
  </cellStyles>
  <dxfs count="46">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numFmt numFmtId="164" formatCode="0.0"/>
    </dxf>
    <dxf>
      <numFmt numFmtId="164" formatCode="0.0"/>
    </dxf>
    <dxf>
      <font>
        <name val="Aptos Narrow"/>
        <scheme val="minor"/>
      </font>
      <fill>
        <patternFill>
          <fgColor theme="1" tint="0.14996795556505021"/>
          <bgColor theme="1" tint="0.14996795556505021"/>
        </patternFill>
      </fill>
    </dxf>
  </dxfs>
  <tableStyles count="1" defaultTableStyle="TableStyleMedium2" defaultPivotStyle="PivotStyleLight16">
    <tableStyle name="Slicer Style 1" pivot="0" table="0" count="5" xr9:uid="{4FB6B909-CC13-4C21-B9F7-1500A506BDD2}">
      <tableStyleElement type="wholeTable" dxfId="45"/>
    </tableStyle>
  </tableStyles>
  <colors>
    <mruColors>
      <color rgb="FFFF9900"/>
      <color rgb="FFEEB500"/>
      <color rgb="FFFFC000"/>
    </mruColors>
  </colors>
  <extLst>
    <ext xmlns:x14="http://schemas.microsoft.com/office/spreadsheetml/2009/9/main" uri="{46F421CA-312F-682f-3DD2-61675219B42D}">
      <x14:dxfs count="4">
        <dxf>
          <fill>
            <patternFill>
              <fgColor rgb="FFFF9900"/>
              <bgColor rgb="FFFF9900"/>
            </patternFill>
          </fill>
        </dxf>
        <dxf>
          <fill>
            <patternFill>
              <fgColor rgb="FFFF9900"/>
              <bgColor rgb="FFFF9900"/>
            </patternFill>
          </fill>
        </dxf>
        <dxf>
          <fill>
            <patternFill>
              <fgColor rgb="FFFF9900"/>
              <bgColor rgb="FFFF9900"/>
            </patternFill>
          </fill>
        </dxf>
        <dxf>
          <fill>
            <patternFill>
              <fgColor rgb="FFFF9900"/>
              <bgColor rgb="FFFF99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86-4A0C-8962-A251175C8F92}"/>
              </c:ext>
            </c:extLst>
          </c:dPt>
          <c:dPt>
            <c:idx val="1"/>
            <c:bubble3D val="0"/>
            <c:spPr>
              <a:solidFill>
                <a:srgbClr val="FF9900"/>
              </a:solidFill>
              <a:ln w="19050">
                <a:solidFill>
                  <a:schemeClr val="lt1"/>
                </a:solidFill>
              </a:ln>
              <a:effectLst/>
            </c:spPr>
            <c:extLst>
              <c:ext xmlns:c16="http://schemas.microsoft.com/office/drawing/2014/chart" uri="{C3380CC4-5D6E-409C-BE32-E72D297353CC}">
                <c16:uniqueId val="{00000003-AE86-4A0C-8962-A251175C8F92}"/>
              </c:ext>
            </c:extLst>
          </c:dPt>
          <c:dPt>
            <c:idx val="2"/>
            <c:bubble3D val="0"/>
            <c:spPr>
              <a:solidFill>
                <a:schemeClr val="bg2">
                  <a:lumMod val="75000"/>
                </a:schemeClr>
              </a:solidFill>
              <a:ln w="19050">
                <a:solidFill>
                  <a:schemeClr val="bg1"/>
                </a:solidFill>
              </a:ln>
              <a:effectLst/>
            </c:spPr>
            <c:extLst>
              <c:ext xmlns:c16="http://schemas.microsoft.com/office/drawing/2014/chart" uri="{C3380CC4-5D6E-409C-BE32-E72D297353CC}">
                <c16:uniqueId val="{00000005-AE86-4A0C-8962-A251175C8F92}"/>
              </c:ext>
            </c:extLst>
          </c:dPt>
          <c:cat>
            <c:strRef>
              <c:f>Pivot!$A$9:$A$11</c:f>
              <c:strCache>
                <c:ptCount val="3"/>
                <c:pt idx="0">
                  <c:v>Contract</c:v>
                </c:pt>
                <c:pt idx="1">
                  <c:v>Full-Time</c:v>
                </c:pt>
                <c:pt idx="2">
                  <c:v>Part-Time</c:v>
                </c:pt>
              </c:strCache>
            </c:strRef>
          </c:cat>
          <c:val>
            <c:numRef>
              <c:f>Pivot!$B$9:$B$11</c:f>
              <c:numCache>
                <c:formatCode>General</c:formatCode>
                <c:ptCount val="3"/>
                <c:pt idx="0">
                  <c:v>17</c:v>
                </c:pt>
                <c:pt idx="1">
                  <c:v>20</c:v>
                </c:pt>
                <c:pt idx="2">
                  <c:v>13</c:v>
                </c:pt>
              </c:numCache>
            </c:numRef>
          </c:val>
          <c:extLst>
            <c:ext xmlns:c16="http://schemas.microsoft.com/office/drawing/2014/chart" uri="{C3380CC4-5D6E-409C-BE32-E72D297353CC}">
              <c16:uniqueId val="{00000006-AE86-4A0C-8962-A251175C8F9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Dashboard.xlsx]Pivot!Age range to gender</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1437321149508"/>
          <c:y val="0.10185200036745461"/>
          <c:w val="0.57045016970000162"/>
          <c:h val="0.62197597255172432"/>
        </c:manualLayout>
      </c:layout>
      <c:barChart>
        <c:barDir val="col"/>
        <c:grouping val="clustered"/>
        <c:varyColors val="0"/>
        <c:ser>
          <c:idx val="0"/>
          <c:order val="0"/>
          <c:tx>
            <c:strRef>
              <c:f>Pivot!$J$3:$J$4</c:f>
              <c:strCache>
                <c:ptCount val="1"/>
                <c:pt idx="0">
                  <c:v>Female</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99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Pivot!$I$5:$I$10</c:f>
              <c:strCache>
                <c:ptCount val="5"/>
                <c:pt idx="0">
                  <c:v>18-25</c:v>
                </c:pt>
                <c:pt idx="1">
                  <c:v>26-35</c:v>
                </c:pt>
                <c:pt idx="2">
                  <c:v>36-45</c:v>
                </c:pt>
                <c:pt idx="3">
                  <c:v>46-55</c:v>
                </c:pt>
                <c:pt idx="4">
                  <c:v>56 &lt;</c:v>
                </c:pt>
              </c:strCache>
            </c:strRef>
          </c:cat>
          <c:val>
            <c:numRef>
              <c:f>Pivot!$J$5:$J$10</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DE34-45EF-89B8-6DD379EC7C09}"/>
            </c:ext>
          </c:extLst>
        </c:ser>
        <c:ser>
          <c:idx val="1"/>
          <c:order val="1"/>
          <c:tx>
            <c:strRef>
              <c:f>Pivot!$K$3:$K$4</c:f>
              <c:strCache>
                <c:ptCount val="1"/>
                <c:pt idx="0">
                  <c:v>Male</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Pivot!$I$5:$I$10</c:f>
              <c:strCache>
                <c:ptCount val="5"/>
                <c:pt idx="0">
                  <c:v>18-25</c:v>
                </c:pt>
                <c:pt idx="1">
                  <c:v>26-35</c:v>
                </c:pt>
                <c:pt idx="2">
                  <c:v>36-45</c:v>
                </c:pt>
                <c:pt idx="3">
                  <c:v>46-55</c:v>
                </c:pt>
                <c:pt idx="4">
                  <c:v>56 &lt;</c:v>
                </c:pt>
              </c:strCache>
            </c:strRef>
          </c:cat>
          <c:val>
            <c:numRef>
              <c:f>Pivot!$K$5:$K$10</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DE34-45EF-89B8-6DD379EC7C09}"/>
            </c:ext>
          </c:extLst>
        </c:ser>
        <c:dLbls>
          <c:dLblPos val="outEnd"/>
          <c:showLegendKey val="0"/>
          <c:showVal val="1"/>
          <c:showCatName val="0"/>
          <c:showSerName val="0"/>
          <c:showPercent val="0"/>
          <c:showBubbleSize val="0"/>
        </c:dLbls>
        <c:gapWidth val="219"/>
        <c:overlap val="-27"/>
        <c:axId val="1551484928"/>
        <c:axId val="1642763360"/>
      </c:barChart>
      <c:catAx>
        <c:axId val="155148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2763360"/>
        <c:crosses val="autoZero"/>
        <c:auto val="1"/>
        <c:lblAlgn val="ctr"/>
        <c:lblOffset val="100"/>
        <c:noMultiLvlLbl val="0"/>
      </c:catAx>
      <c:valAx>
        <c:axId val="1642763360"/>
        <c:scaling>
          <c:orientation val="minMax"/>
        </c:scaling>
        <c:delete val="1"/>
        <c:axPos val="l"/>
        <c:majorGridlines>
          <c:spPr>
            <a:ln w="9525" cap="flat" cmpd="sng" algn="ctr">
              <a:solidFill>
                <a:srgbClr val="FF9900">
                  <a:alpha val="28000"/>
                </a:srgbClr>
              </a:solidFill>
              <a:prstDash val="sysDash"/>
              <a:round/>
            </a:ln>
            <a:effectLst/>
          </c:spPr>
        </c:majorGridlines>
        <c:numFmt formatCode="General" sourceLinked="1"/>
        <c:majorTickMark val="none"/>
        <c:minorTickMark val="none"/>
        <c:tickLblPos val="nextTo"/>
        <c:crossAx val="1551484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9900"/>
            </a:solidFill>
            <a:ln>
              <a:noFill/>
            </a:ln>
            <a:effectLst/>
          </c:spPr>
          <c:invertIfNegative val="0"/>
          <c:val>
            <c:numRef>
              <c:f>Pivot!$P$10</c:f>
              <c:numCache>
                <c:formatCode>0%</c:formatCode>
                <c:ptCount val="1"/>
                <c:pt idx="0">
                  <c:v>0.46</c:v>
                </c:pt>
              </c:numCache>
            </c:numRef>
          </c:val>
          <c:extLst>
            <c:ext xmlns:c16="http://schemas.microsoft.com/office/drawing/2014/chart" uri="{C3380CC4-5D6E-409C-BE32-E72D297353CC}">
              <c16:uniqueId val="{00000000-EC4D-4C4D-BB70-1C6A6D726AC0}"/>
            </c:ext>
          </c:extLst>
        </c:ser>
        <c:ser>
          <c:idx val="1"/>
          <c:order val="1"/>
          <c:spPr>
            <a:solidFill>
              <a:schemeClr val="tx1">
                <a:lumMod val="85000"/>
                <a:lumOff val="15000"/>
              </a:schemeClr>
            </a:solidFill>
            <a:ln>
              <a:noFill/>
            </a:ln>
            <a:effectLst/>
          </c:spPr>
          <c:invertIfNegative val="0"/>
          <c:val>
            <c:numRef>
              <c:f>Pivot!$Q$10</c:f>
              <c:numCache>
                <c:formatCode>0%</c:formatCode>
                <c:ptCount val="1"/>
                <c:pt idx="0">
                  <c:v>0.54</c:v>
                </c:pt>
              </c:numCache>
            </c:numRef>
          </c:val>
          <c:extLst>
            <c:ext xmlns:c16="http://schemas.microsoft.com/office/drawing/2014/chart" uri="{C3380CC4-5D6E-409C-BE32-E72D297353CC}">
              <c16:uniqueId val="{00000001-EC4D-4C4D-BB70-1C6A6D726AC0}"/>
            </c:ext>
          </c:extLst>
        </c:ser>
        <c:dLbls>
          <c:showLegendKey val="0"/>
          <c:showVal val="0"/>
          <c:showCatName val="0"/>
          <c:showSerName val="0"/>
          <c:showPercent val="0"/>
          <c:showBubbleSize val="0"/>
        </c:dLbls>
        <c:gapWidth val="150"/>
        <c:overlap val="100"/>
        <c:axId val="1708579696"/>
        <c:axId val="1642775840"/>
      </c:barChart>
      <c:catAx>
        <c:axId val="1708579696"/>
        <c:scaling>
          <c:orientation val="minMax"/>
        </c:scaling>
        <c:delete val="1"/>
        <c:axPos val="l"/>
        <c:majorTickMark val="none"/>
        <c:minorTickMark val="none"/>
        <c:tickLblPos val="nextTo"/>
        <c:crossAx val="1642775840"/>
        <c:crosses val="autoZero"/>
        <c:auto val="1"/>
        <c:lblAlgn val="ctr"/>
        <c:lblOffset val="100"/>
        <c:noMultiLvlLbl val="0"/>
      </c:catAx>
      <c:valAx>
        <c:axId val="1642775840"/>
        <c:scaling>
          <c:orientation val="minMax"/>
        </c:scaling>
        <c:delete val="1"/>
        <c:axPos val="b"/>
        <c:numFmt formatCode="0%" sourceLinked="1"/>
        <c:majorTickMark val="none"/>
        <c:minorTickMark val="none"/>
        <c:tickLblPos val="nextTo"/>
        <c:crossAx val="170857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9900"/>
            </a:solidFill>
            <a:ln>
              <a:noFill/>
            </a:ln>
            <a:effectLst/>
          </c:spPr>
          <c:invertIfNegative val="0"/>
          <c:val>
            <c:numRef>
              <c:f>Pivot!$P$11</c:f>
              <c:numCache>
                <c:formatCode>0%</c:formatCode>
                <c:ptCount val="1"/>
                <c:pt idx="0">
                  <c:v>0.16</c:v>
                </c:pt>
              </c:numCache>
            </c:numRef>
          </c:val>
          <c:extLst>
            <c:ext xmlns:c16="http://schemas.microsoft.com/office/drawing/2014/chart" uri="{C3380CC4-5D6E-409C-BE32-E72D297353CC}">
              <c16:uniqueId val="{00000000-BCC9-460D-85D2-D6DA52696296}"/>
            </c:ext>
          </c:extLst>
        </c:ser>
        <c:ser>
          <c:idx val="1"/>
          <c:order val="1"/>
          <c:spPr>
            <a:solidFill>
              <a:schemeClr val="tx1">
                <a:lumMod val="85000"/>
                <a:lumOff val="15000"/>
              </a:schemeClr>
            </a:solidFill>
            <a:ln>
              <a:noFill/>
            </a:ln>
            <a:effectLst/>
          </c:spPr>
          <c:invertIfNegative val="0"/>
          <c:val>
            <c:numRef>
              <c:f>Pivot!$Q$11</c:f>
              <c:numCache>
                <c:formatCode>0%</c:formatCode>
                <c:ptCount val="1"/>
                <c:pt idx="0">
                  <c:v>0.84</c:v>
                </c:pt>
              </c:numCache>
            </c:numRef>
          </c:val>
          <c:extLst>
            <c:ext xmlns:c16="http://schemas.microsoft.com/office/drawing/2014/chart" uri="{C3380CC4-5D6E-409C-BE32-E72D297353CC}">
              <c16:uniqueId val="{00000001-BCC9-460D-85D2-D6DA52696296}"/>
            </c:ext>
          </c:extLst>
        </c:ser>
        <c:dLbls>
          <c:showLegendKey val="0"/>
          <c:showVal val="0"/>
          <c:showCatName val="0"/>
          <c:showSerName val="0"/>
          <c:showPercent val="0"/>
          <c:showBubbleSize val="0"/>
        </c:dLbls>
        <c:gapWidth val="150"/>
        <c:overlap val="100"/>
        <c:axId val="1637205328"/>
        <c:axId val="1735563296"/>
      </c:barChart>
      <c:catAx>
        <c:axId val="1637205328"/>
        <c:scaling>
          <c:orientation val="minMax"/>
        </c:scaling>
        <c:delete val="1"/>
        <c:axPos val="l"/>
        <c:majorTickMark val="none"/>
        <c:minorTickMark val="none"/>
        <c:tickLblPos val="nextTo"/>
        <c:crossAx val="1735563296"/>
        <c:crosses val="autoZero"/>
        <c:auto val="1"/>
        <c:lblAlgn val="ctr"/>
        <c:lblOffset val="100"/>
        <c:noMultiLvlLbl val="0"/>
      </c:catAx>
      <c:valAx>
        <c:axId val="1735563296"/>
        <c:scaling>
          <c:orientation val="minMax"/>
        </c:scaling>
        <c:delete val="1"/>
        <c:axPos val="b"/>
        <c:numFmt formatCode="0%" sourceLinked="1"/>
        <c:majorTickMark val="none"/>
        <c:minorTickMark val="none"/>
        <c:tickLblPos val="nextTo"/>
        <c:crossAx val="163720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9900"/>
            </a:solidFill>
            <a:ln>
              <a:noFill/>
            </a:ln>
            <a:effectLst/>
          </c:spPr>
          <c:invertIfNegative val="0"/>
          <c:val>
            <c:numRef>
              <c:f>Pivot!$P$12</c:f>
              <c:numCache>
                <c:formatCode>0%</c:formatCode>
                <c:ptCount val="1"/>
                <c:pt idx="0">
                  <c:v>0.38</c:v>
                </c:pt>
              </c:numCache>
            </c:numRef>
          </c:val>
          <c:extLst>
            <c:ext xmlns:c16="http://schemas.microsoft.com/office/drawing/2014/chart" uri="{C3380CC4-5D6E-409C-BE32-E72D297353CC}">
              <c16:uniqueId val="{00000000-1C79-4700-86D6-6890E93E2D5A}"/>
            </c:ext>
          </c:extLst>
        </c:ser>
        <c:ser>
          <c:idx val="1"/>
          <c:order val="1"/>
          <c:spPr>
            <a:solidFill>
              <a:schemeClr val="tx1">
                <a:lumMod val="85000"/>
                <a:lumOff val="15000"/>
              </a:schemeClr>
            </a:solidFill>
            <a:ln>
              <a:noFill/>
            </a:ln>
            <a:effectLst/>
          </c:spPr>
          <c:invertIfNegative val="0"/>
          <c:val>
            <c:numRef>
              <c:f>Pivot!$Q$12</c:f>
              <c:numCache>
                <c:formatCode>0%</c:formatCode>
                <c:ptCount val="1"/>
                <c:pt idx="0">
                  <c:v>0.62</c:v>
                </c:pt>
              </c:numCache>
            </c:numRef>
          </c:val>
          <c:extLst>
            <c:ext xmlns:c16="http://schemas.microsoft.com/office/drawing/2014/chart" uri="{C3380CC4-5D6E-409C-BE32-E72D297353CC}">
              <c16:uniqueId val="{00000001-1C79-4700-86D6-6890E93E2D5A}"/>
            </c:ext>
          </c:extLst>
        </c:ser>
        <c:dLbls>
          <c:showLegendKey val="0"/>
          <c:showVal val="0"/>
          <c:showCatName val="0"/>
          <c:showSerName val="0"/>
          <c:showPercent val="0"/>
          <c:showBubbleSize val="0"/>
        </c:dLbls>
        <c:gapWidth val="150"/>
        <c:overlap val="100"/>
        <c:axId val="1637186928"/>
        <c:axId val="1735567456"/>
      </c:barChart>
      <c:catAx>
        <c:axId val="1637186928"/>
        <c:scaling>
          <c:orientation val="minMax"/>
        </c:scaling>
        <c:delete val="1"/>
        <c:axPos val="l"/>
        <c:majorTickMark val="none"/>
        <c:minorTickMark val="none"/>
        <c:tickLblPos val="nextTo"/>
        <c:crossAx val="1735567456"/>
        <c:crosses val="autoZero"/>
        <c:auto val="1"/>
        <c:lblAlgn val="ctr"/>
        <c:lblOffset val="100"/>
        <c:noMultiLvlLbl val="0"/>
      </c:catAx>
      <c:valAx>
        <c:axId val="1735567456"/>
        <c:scaling>
          <c:orientation val="minMax"/>
        </c:scaling>
        <c:delete val="1"/>
        <c:axPos val="b"/>
        <c:numFmt formatCode="0%" sourceLinked="1"/>
        <c:majorTickMark val="none"/>
        <c:minorTickMark val="none"/>
        <c:tickLblPos val="nextTo"/>
        <c:crossAx val="163718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8.1587766819443366E-2"/>
          <c:w val="0.9732173276479763"/>
          <c:h val="0.63459238864774559"/>
        </c:manualLayout>
      </c:layout>
      <c:barChart>
        <c:barDir val="col"/>
        <c:grouping val="clustered"/>
        <c:varyColors val="0"/>
        <c:ser>
          <c:idx val="0"/>
          <c:order val="0"/>
          <c:tx>
            <c:strRef>
              <c:f>Pivot!$E$11</c:f>
              <c:strCache>
                <c:ptCount val="1"/>
                <c:pt idx="0">
                  <c:v>Analyst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Pivot!$G$11</c:f>
              <c:numCache>
                <c:formatCode>General</c:formatCode>
                <c:ptCount val="1"/>
                <c:pt idx="0">
                  <c:v>28</c:v>
                </c:pt>
              </c:numCache>
            </c:numRef>
          </c:val>
          <c:extLst>
            <c:ext xmlns:c16="http://schemas.microsoft.com/office/drawing/2014/chart" uri="{C3380CC4-5D6E-409C-BE32-E72D297353CC}">
              <c16:uniqueId val="{00000000-279D-49E2-ABA8-AEA19AA79D36}"/>
            </c:ext>
          </c:extLst>
        </c:ser>
        <c:ser>
          <c:idx val="1"/>
          <c:order val="1"/>
          <c:tx>
            <c:strRef>
              <c:f>Pivot!$E$12</c:f>
              <c:strCache>
                <c:ptCount val="1"/>
                <c:pt idx="0">
                  <c:v>Designer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Pivot!$G$12</c:f>
              <c:numCache>
                <c:formatCode>General</c:formatCode>
                <c:ptCount val="1"/>
                <c:pt idx="0">
                  <c:v>110</c:v>
                </c:pt>
              </c:numCache>
            </c:numRef>
          </c:val>
          <c:extLst>
            <c:ext xmlns:c16="http://schemas.microsoft.com/office/drawing/2014/chart" uri="{C3380CC4-5D6E-409C-BE32-E72D297353CC}">
              <c16:uniqueId val="{00000001-279D-49E2-ABA8-AEA19AA79D36}"/>
            </c:ext>
          </c:extLst>
        </c:ser>
        <c:ser>
          <c:idx val="2"/>
          <c:order val="2"/>
          <c:tx>
            <c:strRef>
              <c:f>Pivot!$E$13</c:f>
              <c:strCache>
                <c:ptCount val="1"/>
                <c:pt idx="0">
                  <c:v>Developer</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Pivot!$G$13</c:f>
              <c:numCache>
                <c:formatCode>General</c:formatCode>
                <c:ptCount val="1"/>
                <c:pt idx="0">
                  <c:v>104</c:v>
                </c:pt>
              </c:numCache>
            </c:numRef>
          </c:val>
          <c:extLst>
            <c:ext xmlns:c16="http://schemas.microsoft.com/office/drawing/2014/chart" uri="{C3380CC4-5D6E-409C-BE32-E72D297353CC}">
              <c16:uniqueId val="{00000002-279D-49E2-ABA8-AEA19AA79D36}"/>
            </c:ext>
          </c:extLst>
        </c:ser>
        <c:ser>
          <c:idx val="3"/>
          <c:order val="3"/>
          <c:tx>
            <c:strRef>
              <c:f>Pivot!$E$14</c:f>
              <c:strCache>
                <c:ptCount val="1"/>
                <c:pt idx="0">
                  <c:v>HR Specialist</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Pivot!$G$14</c:f>
              <c:numCache>
                <c:formatCode>General</c:formatCode>
                <c:ptCount val="1"/>
                <c:pt idx="0">
                  <c:v>123</c:v>
                </c:pt>
              </c:numCache>
            </c:numRef>
          </c:val>
          <c:extLst>
            <c:ext xmlns:c16="http://schemas.microsoft.com/office/drawing/2014/chart" uri="{C3380CC4-5D6E-409C-BE32-E72D297353CC}">
              <c16:uniqueId val="{00000003-279D-49E2-ABA8-AEA19AA79D36}"/>
            </c:ext>
          </c:extLst>
        </c:ser>
        <c:ser>
          <c:idx val="4"/>
          <c:order val="4"/>
          <c:tx>
            <c:strRef>
              <c:f>Pivot!$E$15</c:f>
              <c:strCache>
                <c:ptCount val="1"/>
                <c:pt idx="0">
                  <c:v>Manager</c:v>
                </c:pt>
              </c:strCache>
            </c:strRef>
          </c:tx>
          <c:spPr>
            <a:solidFill>
              <a:srgbClr val="FF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Pivot!$G$15</c:f>
              <c:numCache>
                <c:formatCode>General</c:formatCode>
                <c:ptCount val="1"/>
                <c:pt idx="0">
                  <c:v>122</c:v>
                </c:pt>
              </c:numCache>
            </c:numRef>
          </c:val>
          <c:extLst>
            <c:ext xmlns:c16="http://schemas.microsoft.com/office/drawing/2014/chart" uri="{C3380CC4-5D6E-409C-BE32-E72D297353CC}">
              <c16:uniqueId val="{00000004-279D-49E2-ABA8-AEA19AA79D36}"/>
            </c:ext>
          </c:extLst>
        </c:ser>
        <c:dLbls>
          <c:dLblPos val="outEnd"/>
          <c:showLegendKey val="0"/>
          <c:showVal val="1"/>
          <c:showCatName val="0"/>
          <c:showSerName val="0"/>
          <c:showPercent val="0"/>
          <c:showBubbleSize val="0"/>
        </c:dLbls>
        <c:gapWidth val="219"/>
        <c:overlap val="-27"/>
        <c:axId val="1746995680"/>
        <c:axId val="1707873488"/>
      </c:barChart>
      <c:catAx>
        <c:axId val="1746995680"/>
        <c:scaling>
          <c:orientation val="minMax"/>
        </c:scaling>
        <c:delete val="1"/>
        <c:axPos val="b"/>
        <c:numFmt formatCode="General" sourceLinked="1"/>
        <c:majorTickMark val="none"/>
        <c:minorTickMark val="none"/>
        <c:tickLblPos val="nextTo"/>
        <c:crossAx val="1707873488"/>
        <c:crosses val="autoZero"/>
        <c:auto val="1"/>
        <c:lblAlgn val="ctr"/>
        <c:lblOffset val="100"/>
        <c:noMultiLvlLbl val="0"/>
      </c:catAx>
      <c:valAx>
        <c:axId val="1707873488"/>
        <c:scaling>
          <c:orientation val="minMax"/>
        </c:scaling>
        <c:delete val="1"/>
        <c:axPos val="l"/>
        <c:majorGridlines>
          <c:spPr>
            <a:ln w="9525" cap="flat" cmpd="sng" algn="ctr">
              <a:solidFill>
                <a:srgbClr val="FF9900">
                  <a:alpha val="34000"/>
                </a:srgbClr>
              </a:solidFill>
              <a:prstDash val="sysDot"/>
              <a:round/>
            </a:ln>
            <a:effectLst/>
          </c:spPr>
        </c:majorGridlines>
        <c:numFmt formatCode="General" sourceLinked="1"/>
        <c:majorTickMark val="none"/>
        <c:minorTickMark val="none"/>
        <c:tickLblPos val="nextTo"/>
        <c:crossAx val="17469956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Dashboard.xlsx]Pivot!Region</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Pivot!$W$3</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Pivot!$V$4:$V$9</c:f>
              <c:strCache>
                <c:ptCount val="5"/>
                <c:pt idx="0">
                  <c:v>Central</c:v>
                </c:pt>
                <c:pt idx="1">
                  <c:v>East</c:v>
                </c:pt>
                <c:pt idx="2">
                  <c:v>North</c:v>
                </c:pt>
                <c:pt idx="3">
                  <c:v>South</c:v>
                </c:pt>
                <c:pt idx="4">
                  <c:v>West</c:v>
                </c:pt>
              </c:strCache>
            </c:strRef>
          </c:cat>
          <c:val>
            <c:numRef>
              <c:f>Pivot!$W$4:$W$9</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C3D4-4FBF-A262-D0027DCE3616}"/>
            </c:ext>
          </c:extLst>
        </c:ser>
        <c:dLbls>
          <c:showLegendKey val="0"/>
          <c:showVal val="0"/>
          <c:showCatName val="0"/>
          <c:showSerName val="0"/>
          <c:showPercent val="0"/>
          <c:showBubbleSize val="0"/>
        </c:dLbls>
        <c:gapWidth val="37"/>
        <c:axId val="1693927008"/>
        <c:axId val="1745634320"/>
      </c:barChart>
      <c:catAx>
        <c:axId val="1693927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45634320"/>
        <c:crosses val="autoZero"/>
        <c:auto val="1"/>
        <c:lblAlgn val="ctr"/>
        <c:lblOffset val="100"/>
        <c:noMultiLvlLbl val="0"/>
      </c:catAx>
      <c:valAx>
        <c:axId val="1745634320"/>
        <c:scaling>
          <c:orientation val="minMax"/>
        </c:scaling>
        <c:delete val="1"/>
        <c:axPos val="b"/>
        <c:majorGridlines>
          <c:spPr>
            <a:ln w="9525" cap="flat" cmpd="sng" algn="ctr">
              <a:solidFill>
                <a:srgbClr val="FF9900">
                  <a:alpha val="44000"/>
                </a:srgbClr>
              </a:solidFill>
              <a:prstDash val="sysDot"/>
              <a:round/>
            </a:ln>
            <a:effectLst/>
          </c:spPr>
        </c:majorGridlines>
        <c:numFmt formatCode="General" sourceLinked="1"/>
        <c:majorTickMark val="none"/>
        <c:minorTickMark val="none"/>
        <c:tickLblPos val="nextTo"/>
        <c:crossAx val="1693927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657225</xdr:colOff>
      <xdr:row>24</xdr:row>
      <xdr:rowOff>38099</xdr:rowOff>
    </xdr:to>
    <xdr:sp macro="" textlink="">
      <xdr:nvSpPr>
        <xdr:cNvPr id="2" name="Rectangle: Rounded Corners 1">
          <a:extLst>
            <a:ext uri="{FF2B5EF4-FFF2-40B4-BE49-F238E27FC236}">
              <a16:creationId xmlns:a16="http://schemas.microsoft.com/office/drawing/2014/main" id="{7F180F84-927E-4779-87F3-57AD87B12B20}"/>
            </a:ext>
          </a:extLst>
        </xdr:cNvPr>
        <xdr:cNvSpPr/>
      </xdr:nvSpPr>
      <xdr:spPr>
        <a:xfrm>
          <a:off x="0" y="0"/>
          <a:ext cx="7515225" cy="4381499"/>
        </a:xfrm>
        <a:prstGeom prst="roundRect">
          <a:avLst>
            <a:gd name="adj" fmla="val 2667"/>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457199</xdr:colOff>
      <xdr:row>13</xdr:row>
      <xdr:rowOff>114298</xdr:rowOff>
    </xdr:from>
    <xdr:to>
      <xdr:col>5</xdr:col>
      <xdr:colOff>161924</xdr:colOff>
      <xdr:row>23</xdr:row>
      <xdr:rowOff>76199</xdr:rowOff>
    </xdr:to>
    <xdr:sp macro="" textlink="">
      <xdr:nvSpPr>
        <xdr:cNvPr id="3" name="Rectangle: Rounded Corners 2">
          <a:extLst>
            <a:ext uri="{FF2B5EF4-FFF2-40B4-BE49-F238E27FC236}">
              <a16:creationId xmlns:a16="http://schemas.microsoft.com/office/drawing/2014/main" id="{920A2B38-63A0-45D7-9289-D88CD3F91F76}"/>
            </a:ext>
          </a:extLst>
        </xdr:cNvPr>
        <xdr:cNvSpPr/>
      </xdr:nvSpPr>
      <xdr:spPr>
        <a:xfrm>
          <a:off x="1828799" y="2466973"/>
          <a:ext cx="1762125" cy="1771651"/>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219075</xdr:colOff>
      <xdr:row>13</xdr:row>
      <xdr:rowOff>123826</xdr:rowOff>
    </xdr:from>
    <xdr:to>
      <xdr:col>2</xdr:col>
      <xdr:colOff>381000</xdr:colOff>
      <xdr:row>23</xdr:row>
      <xdr:rowOff>66676</xdr:rowOff>
    </xdr:to>
    <xdr:sp macro="" textlink="">
      <xdr:nvSpPr>
        <xdr:cNvPr id="4" name="Rectangle: Rounded Corners 3">
          <a:extLst>
            <a:ext uri="{FF2B5EF4-FFF2-40B4-BE49-F238E27FC236}">
              <a16:creationId xmlns:a16="http://schemas.microsoft.com/office/drawing/2014/main" id="{389A2766-6F83-4D82-870E-F2196E4312C2}"/>
            </a:ext>
          </a:extLst>
        </xdr:cNvPr>
        <xdr:cNvSpPr/>
      </xdr:nvSpPr>
      <xdr:spPr>
        <a:xfrm>
          <a:off x="219075" y="2476501"/>
          <a:ext cx="1533525" cy="1752600"/>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238124</xdr:colOff>
      <xdr:row>13</xdr:row>
      <xdr:rowOff>57150</xdr:rowOff>
    </xdr:from>
    <xdr:to>
      <xdr:col>7</xdr:col>
      <xdr:colOff>628649</xdr:colOff>
      <xdr:row>23</xdr:row>
      <xdr:rowOff>85725</xdr:rowOff>
    </xdr:to>
    <xdr:sp macro="" textlink="">
      <xdr:nvSpPr>
        <xdr:cNvPr id="5" name="Rectangle: Rounded Corners 4">
          <a:extLst>
            <a:ext uri="{FF2B5EF4-FFF2-40B4-BE49-F238E27FC236}">
              <a16:creationId xmlns:a16="http://schemas.microsoft.com/office/drawing/2014/main" id="{D912BBCA-8397-43E8-9A79-79AEBC3CF35D}"/>
            </a:ext>
          </a:extLst>
        </xdr:cNvPr>
        <xdr:cNvSpPr/>
      </xdr:nvSpPr>
      <xdr:spPr>
        <a:xfrm>
          <a:off x="3667124" y="2409825"/>
          <a:ext cx="1762125" cy="1838325"/>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238124</xdr:colOff>
      <xdr:row>4</xdr:row>
      <xdr:rowOff>9524</xdr:rowOff>
    </xdr:from>
    <xdr:to>
      <xdr:col>7</xdr:col>
      <xdr:colOff>628649</xdr:colOff>
      <xdr:row>13</xdr:row>
      <xdr:rowOff>28575</xdr:rowOff>
    </xdr:to>
    <xdr:sp macro="" textlink="">
      <xdr:nvSpPr>
        <xdr:cNvPr id="6" name="Rectangle: Rounded Corners 5">
          <a:extLst>
            <a:ext uri="{FF2B5EF4-FFF2-40B4-BE49-F238E27FC236}">
              <a16:creationId xmlns:a16="http://schemas.microsoft.com/office/drawing/2014/main" id="{5103438C-73DB-4DA2-8E10-B608A1DB7F36}"/>
            </a:ext>
          </a:extLst>
        </xdr:cNvPr>
        <xdr:cNvSpPr/>
      </xdr:nvSpPr>
      <xdr:spPr>
        <a:xfrm>
          <a:off x="3667124" y="733424"/>
          <a:ext cx="1762125" cy="1647826"/>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676275</xdr:colOff>
      <xdr:row>4</xdr:row>
      <xdr:rowOff>180974</xdr:rowOff>
    </xdr:from>
    <xdr:to>
      <xdr:col>10</xdr:col>
      <xdr:colOff>365125</xdr:colOff>
      <xdr:row>12</xdr:row>
      <xdr:rowOff>133349</xdr:rowOff>
    </xdr:to>
    <xdr:sp macro="" textlink="">
      <xdr:nvSpPr>
        <xdr:cNvPr id="7" name="Rectangle: Rounded Corners 6">
          <a:extLst>
            <a:ext uri="{FF2B5EF4-FFF2-40B4-BE49-F238E27FC236}">
              <a16:creationId xmlns:a16="http://schemas.microsoft.com/office/drawing/2014/main" id="{16947642-FB89-4D81-AA9B-17C6965B246F}"/>
            </a:ext>
          </a:extLst>
        </xdr:cNvPr>
        <xdr:cNvSpPr/>
      </xdr:nvSpPr>
      <xdr:spPr>
        <a:xfrm>
          <a:off x="5476875" y="904874"/>
          <a:ext cx="1746250" cy="1400175"/>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495299</xdr:colOff>
      <xdr:row>8</xdr:row>
      <xdr:rowOff>133349</xdr:rowOff>
    </xdr:from>
    <xdr:to>
      <xdr:col>3</xdr:col>
      <xdr:colOff>628650</xdr:colOff>
      <xdr:row>13</xdr:row>
      <xdr:rowOff>76200</xdr:rowOff>
    </xdr:to>
    <xdr:sp macro="" textlink="">
      <xdr:nvSpPr>
        <xdr:cNvPr id="8" name="Rectangle: Rounded Corners 7">
          <a:extLst>
            <a:ext uri="{FF2B5EF4-FFF2-40B4-BE49-F238E27FC236}">
              <a16:creationId xmlns:a16="http://schemas.microsoft.com/office/drawing/2014/main" id="{75AFCAB7-21F4-49D5-931C-0F6F1DF8B90C}"/>
            </a:ext>
          </a:extLst>
        </xdr:cNvPr>
        <xdr:cNvSpPr/>
      </xdr:nvSpPr>
      <xdr:spPr>
        <a:xfrm>
          <a:off x="1866899" y="1581149"/>
          <a:ext cx="819151" cy="847726"/>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19049</xdr:colOff>
      <xdr:row>8</xdr:row>
      <xdr:rowOff>142874</xdr:rowOff>
    </xdr:from>
    <xdr:to>
      <xdr:col>5</xdr:col>
      <xdr:colOff>152400</xdr:colOff>
      <xdr:row>13</xdr:row>
      <xdr:rowOff>85725</xdr:rowOff>
    </xdr:to>
    <xdr:sp macro="" textlink="">
      <xdr:nvSpPr>
        <xdr:cNvPr id="9" name="Rectangle: Rounded Corners 8">
          <a:extLst>
            <a:ext uri="{FF2B5EF4-FFF2-40B4-BE49-F238E27FC236}">
              <a16:creationId xmlns:a16="http://schemas.microsoft.com/office/drawing/2014/main" id="{ADB32818-A010-45D5-8672-FF744F6C893F}"/>
            </a:ext>
          </a:extLst>
        </xdr:cNvPr>
        <xdr:cNvSpPr/>
      </xdr:nvSpPr>
      <xdr:spPr>
        <a:xfrm>
          <a:off x="2762249" y="1590674"/>
          <a:ext cx="819151" cy="847726"/>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4</xdr:row>
      <xdr:rowOff>28575</xdr:rowOff>
    </xdr:from>
    <xdr:to>
      <xdr:col>2</xdr:col>
      <xdr:colOff>419100</xdr:colOff>
      <xdr:row>13</xdr:row>
      <xdr:rowOff>76200</xdr:rowOff>
    </xdr:to>
    <xdr:sp macro="" textlink="">
      <xdr:nvSpPr>
        <xdr:cNvPr id="13" name="Rectangle: Rounded Corners 12">
          <a:extLst>
            <a:ext uri="{FF2B5EF4-FFF2-40B4-BE49-F238E27FC236}">
              <a16:creationId xmlns:a16="http://schemas.microsoft.com/office/drawing/2014/main" id="{061DFB65-B055-405D-A884-1E3AA9021726}"/>
            </a:ext>
          </a:extLst>
        </xdr:cNvPr>
        <xdr:cNvSpPr/>
      </xdr:nvSpPr>
      <xdr:spPr>
        <a:xfrm>
          <a:off x="228600" y="752475"/>
          <a:ext cx="1562100" cy="1676400"/>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476249</xdr:colOff>
      <xdr:row>4</xdr:row>
      <xdr:rowOff>28575</xdr:rowOff>
    </xdr:from>
    <xdr:to>
      <xdr:col>5</xdr:col>
      <xdr:colOff>180974</xdr:colOff>
      <xdr:row>8</xdr:row>
      <xdr:rowOff>95250</xdr:rowOff>
    </xdr:to>
    <xdr:sp macro="" textlink="">
      <xdr:nvSpPr>
        <xdr:cNvPr id="14" name="Rectangle: Rounded Corners 13">
          <a:extLst>
            <a:ext uri="{FF2B5EF4-FFF2-40B4-BE49-F238E27FC236}">
              <a16:creationId xmlns:a16="http://schemas.microsoft.com/office/drawing/2014/main" id="{CAE84775-CB4F-4E00-8C06-5D25F1AA83D3}"/>
            </a:ext>
          </a:extLst>
        </xdr:cNvPr>
        <xdr:cNvSpPr/>
      </xdr:nvSpPr>
      <xdr:spPr>
        <a:xfrm>
          <a:off x="1847849" y="752475"/>
          <a:ext cx="1762125" cy="790575"/>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200025</xdr:colOff>
      <xdr:row>13</xdr:row>
      <xdr:rowOff>114300</xdr:rowOff>
    </xdr:from>
    <xdr:to>
      <xdr:col>10</xdr:col>
      <xdr:colOff>358775</xdr:colOff>
      <xdr:row>18</xdr:row>
      <xdr:rowOff>104775</xdr:rowOff>
    </xdr:to>
    <xdr:grpSp>
      <xdr:nvGrpSpPr>
        <xdr:cNvPr id="34" name="Group 33">
          <a:extLst>
            <a:ext uri="{FF2B5EF4-FFF2-40B4-BE49-F238E27FC236}">
              <a16:creationId xmlns:a16="http://schemas.microsoft.com/office/drawing/2014/main" id="{B057C085-3AEC-48EA-9EEE-7B1BFB8D4332}"/>
            </a:ext>
          </a:extLst>
        </xdr:cNvPr>
        <xdr:cNvGrpSpPr/>
      </xdr:nvGrpSpPr>
      <xdr:grpSpPr>
        <a:xfrm>
          <a:off x="6372225" y="2466975"/>
          <a:ext cx="844550" cy="895350"/>
          <a:chOff x="6391275" y="2314575"/>
          <a:chExt cx="844550" cy="895350"/>
        </a:xfrm>
      </xdr:grpSpPr>
      <xdr:sp macro="" textlink="">
        <xdr:nvSpPr>
          <xdr:cNvPr id="12" name="Rectangle: Rounded Corners 11">
            <a:extLst>
              <a:ext uri="{FF2B5EF4-FFF2-40B4-BE49-F238E27FC236}">
                <a16:creationId xmlns:a16="http://schemas.microsoft.com/office/drawing/2014/main" id="{AC9071FF-9D43-43FC-908E-43C3A0E09590}"/>
              </a:ext>
            </a:extLst>
          </xdr:cNvPr>
          <xdr:cNvSpPr/>
        </xdr:nvSpPr>
        <xdr:spPr>
          <a:xfrm>
            <a:off x="6416674" y="2362199"/>
            <a:ext cx="819151" cy="847726"/>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F9AA2C13-3CE6-48DC-8773-8CD632B9EA2E}"/>
              </a:ext>
            </a:extLst>
          </xdr:cNvPr>
          <xdr:cNvSpPr txBox="1"/>
        </xdr:nvSpPr>
        <xdr:spPr>
          <a:xfrm>
            <a:off x="6391275" y="2314575"/>
            <a:ext cx="761812" cy="561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chemeClr val="bg1"/>
                </a:solidFill>
                <a:latin typeface="+mj-lt"/>
              </a:rPr>
              <a:t>Part</a:t>
            </a:r>
          </a:p>
          <a:p>
            <a:r>
              <a:rPr lang="en-IN" sz="1000" b="1">
                <a:solidFill>
                  <a:schemeClr val="bg1"/>
                </a:solidFill>
                <a:latin typeface="+mj-lt"/>
              </a:rPr>
              <a:t>Time</a:t>
            </a:r>
          </a:p>
          <a:p>
            <a:r>
              <a:rPr lang="en-IN" sz="1000" b="1">
                <a:solidFill>
                  <a:schemeClr val="bg1"/>
                </a:solidFill>
                <a:latin typeface="+mj-lt"/>
              </a:rPr>
              <a:t>Employees</a:t>
            </a:r>
          </a:p>
        </xdr:txBody>
      </xdr:sp>
    </xdr:grpSp>
    <xdr:clientData/>
  </xdr:twoCellAnchor>
  <xdr:oneCellAnchor>
    <xdr:from>
      <xdr:col>9</xdr:col>
      <xdr:colOff>495301</xdr:colOff>
      <xdr:row>15</xdr:row>
      <xdr:rowOff>114300</xdr:rowOff>
    </xdr:from>
    <xdr:ext cx="638174" cy="552450"/>
    <xdr:sp macro="" textlink="Pivot!B11">
      <xdr:nvSpPr>
        <xdr:cNvPr id="17" name="TextBox 16">
          <a:extLst>
            <a:ext uri="{FF2B5EF4-FFF2-40B4-BE49-F238E27FC236}">
              <a16:creationId xmlns:a16="http://schemas.microsoft.com/office/drawing/2014/main" id="{D921FD52-C480-490F-9A50-E7C9A4544422}"/>
            </a:ext>
          </a:extLst>
        </xdr:cNvPr>
        <xdr:cNvSpPr txBox="1"/>
      </xdr:nvSpPr>
      <xdr:spPr>
        <a:xfrm>
          <a:off x="6667501" y="2828925"/>
          <a:ext cx="638174" cy="55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756B9D7-7815-4B48-92C6-82D7AC6A456A}" type="TxLink">
            <a:rPr lang="en-US" sz="3200" b="1" i="0" u="none" strike="noStrike">
              <a:solidFill>
                <a:schemeClr val="bg1"/>
              </a:solidFill>
              <a:latin typeface="Aptos Narrow"/>
            </a:rPr>
            <a:pPr/>
            <a:t>13</a:t>
          </a:fld>
          <a:endParaRPr lang="en-IN" sz="2400" b="1">
            <a:solidFill>
              <a:schemeClr val="bg1"/>
            </a:solidFill>
            <a:latin typeface="+mj-lt"/>
          </a:endParaRPr>
        </a:p>
      </xdr:txBody>
    </xdr:sp>
    <xdr:clientData/>
  </xdr:oneCellAnchor>
  <xdr:twoCellAnchor>
    <xdr:from>
      <xdr:col>9</xdr:col>
      <xdr:colOff>219075</xdr:colOff>
      <xdr:row>18</xdr:row>
      <xdr:rowOff>85725</xdr:rowOff>
    </xdr:from>
    <xdr:to>
      <xdr:col>10</xdr:col>
      <xdr:colOff>447675</xdr:colOff>
      <xdr:row>23</xdr:row>
      <xdr:rowOff>104775</xdr:rowOff>
    </xdr:to>
    <xdr:grpSp>
      <xdr:nvGrpSpPr>
        <xdr:cNvPr id="35" name="Group 34">
          <a:extLst>
            <a:ext uri="{FF2B5EF4-FFF2-40B4-BE49-F238E27FC236}">
              <a16:creationId xmlns:a16="http://schemas.microsoft.com/office/drawing/2014/main" id="{5E2DAD09-2513-430C-83B0-BA3CA4B55CD5}"/>
            </a:ext>
          </a:extLst>
        </xdr:cNvPr>
        <xdr:cNvGrpSpPr/>
      </xdr:nvGrpSpPr>
      <xdr:grpSpPr>
        <a:xfrm>
          <a:off x="6391275" y="3343275"/>
          <a:ext cx="914400" cy="923925"/>
          <a:chOff x="6381750" y="3171825"/>
          <a:chExt cx="914400" cy="923925"/>
        </a:xfrm>
      </xdr:grpSpPr>
      <xdr:sp macro="" textlink="">
        <xdr:nvSpPr>
          <xdr:cNvPr id="11" name="Rectangle: Rounded Corners 10">
            <a:extLst>
              <a:ext uri="{FF2B5EF4-FFF2-40B4-BE49-F238E27FC236}">
                <a16:creationId xmlns:a16="http://schemas.microsoft.com/office/drawing/2014/main" id="{6380B2EB-5409-4B7F-A8E1-9ADAE75AB12E}"/>
              </a:ext>
            </a:extLst>
          </xdr:cNvPr>
          <xdr:cNvSpPr/>
        </xdr:nvSpPr>
        <xdr:spPr>
          <a:xfrm>
            <a:off x="6410324" y="3228974"/>
            <a:ext cx="819151" cy="847726"/>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9733F306-9596-46DA-BA9F-140F751E4CCE}"/>
              </a:ext>
            </a:extLst>
          </xdr:cNvPr>
          <xdr:cNvSpPr txBox="1"/>
        </xdr:nvSpPr>
        <xdr:spPr>
          <a:xfrm>
            <a:off x="6381750" y="3171825"/>
            <a:ext cx="761812" cy="561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chemeClr val="bg1"/>
                </a:solidFill>
                <a:latin typeface="+mj-lt"/>
              </a:rPr>
              <a:t>Full</a:t>
            </a:r>
          </a:p>
          <a:p>
            <a:r>
              <a:rPr lang="en-IN" sz="1000" b="1">
                <a:solidFill>
                  <a:schemeClr val="bg1"/>
                </a:solidFill>
                <a:latin typeface="+mj-lt"/>
              </a:rPr>
              <a:t>Time</a:t>
            </a:r>
          </a:p>
          <a:p>
            <a:r>
              <a:rPr lang="en-IN" sz="1000" b="1">
                <a:solidFill>
                  <a:schemeClr val="bg1"/>
                </a:solidFill>
                <a:latin typeface="+mj-lt"/>
              </a:rPr>
              <a:t>Employees</a:t>
            </a:r>
          </a:p>
        </xdr:txBody>
      </xdr:sp>
      <xdr:sp macro="" textlink="Pivot!B10">
        <xdr:nvSpPr>
          <xdr:cNvPr id="19" name="TextBox 18">
            <a:extLst>
              <a:ext uri="{FF2B5EF4-FFF2-40B4-BE49-F238E27FC236}">
                <a16:creationId xmlns:a16="http://schemas.microsoft.com/office/drawing/2014/main" id="{C178ACED-DF41-46F2-B806-CBF033615D13}"/>
              </a:ext>
            </a:extLst>
          </xdr:cNvPr>
          <xdr:cNvSpPr txBox="1"/>
        </xdr:nvSpPr>
        <xdr:spPr>
          <a:xfrm>
            <a:off x="6657976" y="3543300"/>
            <a:ext cx="638174" cy="55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2258CEA4-1E51-42D9-8C06-A46FB6F167EA}" type="TxLink">
              <a:rPr lang="en-US" sz="3200" b="1" i="0" u="none" strike="noStrike">
                <a:solidFill>
                  <a:schemeClr val="bg1"/>
                </a:solidFill>
                <a:latin typeface="Aptos Narrow"/>
                <a:ea typeface="+mn-ea"/>
                <a:cs typeface="+mn-cs"/>
              </a:rPr>
              <a:pPr marL="0" indent="0"/>
              <a:t>20</a:t>
            </a:fld>
            <a:endParaRPr lang="en-IN" sz="3200" b="1" i="0" u="none" strike="noStrike">
              <a:solidFill>
                <a:schemeClr val="bg1"/>
              </a:solidFill>
              <a:latin typeface="Aptos Narrow"/>
              <a:ea typeface="+mn-ea"/>
              <a:cs typeface="+mn-cs"/>
            </a:endParaRPr>
          </a:p>
        </xdr:txBody>
      </xdr:sp>
    </xdr:grpSp>
    <xdr:clientData/>
  </xdr:twoCellAnchor>
  <xdr:twoCellAnchor>
    <xdr:from>
      <xdr:col>8</xdr:col>
      <xdr:colOff>28575</xdr:colOff>
      <xdr:row>18</xdr:row>
      <xdr:rowOff>95250</xdr:rowOff>
    </xdr:from>
    <xdr:to>
      <xdr:col>9</xdr:col>
      <xdr:colOff>276225</xdr:colOff>
      <xdr:row>23</xdr:row>
      <xdr:rowOff>104775</xdr:rowOff>
    </xdr:to>
    <xdr:grpSp>
      <xdr:nvGrpSpPr>
        <xdr:cNvPr id="36" name="Group 35">
          <a:extLst>
            <a:ext uri="{FF2B5EF4-FFF2-40B4-BE49-F238E27FC236}">
              <a16:creationId xmlns:a16="http://schemas.microsoft.com/office/drawing/2014/main" id="{0C51FF5E-9D70-4EA2-92A9-30477CB9F631}"/>
            </a:ext>
          </a:extLst>
        </xdr:cNvPr>
        <xdr:cNvGrpSpPr/>
      </xdr:nvGrpSpPr>
      <xdr:grpSpPr>
        <a:xfrm>
          <a:off x="5514975" y="3352800"/>
          <a:ext cx="933450" cy="914400"/>
          <a:chOff x="5514975" y="3352800"/>
          <a:chExt cx="933450" cy="914400"/>
        </a:xfrm>
      </xdr:grpSpPr>
      <xdr:sp macro="" textlink="">
        <xdr:nvSpPr>
          <xdr:cNvPr id="10" name="Rectangle: Rounded Corners 9">
            <a:extLst>
              <a:ext uri="{FF2B5EF4-FFF2-40B4-BE49-F238E27FC236}">
                <a16:creationId xmlns:a16="http://schemas.microsoft.com/office/drawing/2014/main" id="{470BD5C6-10C5-4FB6-85DC-9209770A67FB}"/>
              </a:ext>
            </a:extLst>
          </xdr:cNvPr>
          <xdr:cNvSpPr/>
        </xdr:nvSpPr>
        <xdr:spPr>
          <a:xfrm>
            <a:off x="5553074" y="3400424"/>
            <a:ext cx="819151" cy="847726"/>
          </a:xfrm>
          <a:prstGeom prst="roundRect">
            <a:avLst>
              <a:gd name="adj" fmla="val 7693"/>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A70B4E68-E838-407C-A0F2-14D61F7B4439}"/>
              </a:ext>
            </a:extLst>
          </xdr:cNvPr>
          <xdr:cNvSpPr txBox="1"/>
        </xdr:nvSpPr>
        <xdr:spPr>
          <a:xfrm>
            <a:off x="5514975" y="3352800"/>
            <a:ext cx="761812" cy="561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b="1">
                <a:solidFill>
                  <a:schemeClr val="bg1"/>
                </a:solidFill>
                <a:latin typeface="+mj-lt"/>
              </a:rPr>
              <a:t>Employees</a:t>
            </a:r>
            <a:endParaRPr lang="en-IN" sz="1000" b="1" baseline="0">
              <a:solidFill>
                <a:schemeClr val="bg1"/>
              </a:solidFill>
              <a:latin typeface="+mj-lt"/>
            </a:endParaRPr>
          </a:p>
          <a:p>
            <a:r>
              <a:rPr lang="en-IN" sz="1000" b="1" baseline="0">
                <a:solidFill>
                  <a:schemeClr val="bg1"/>
                </a:solidFill>
                <a:latin typeface="+mj-lt"/>
              </a:rPr>
              <a:t>With</a:t>
            </a:r>
          </a:p>
          <a:p>
            <a:r>
              <a:rPr lang="en-IN" sz="1000" b="1" baseline="0">
                <a:solidFill>
                  <a:schemeClr val="bg1"/>
                </a:solidFill>
                <a:latin typeface="+mj-lt"/>
              </a:rPr>
              <a:t>Contracts</a:t>
            </a:r>
            <a:endParaRPr lang="en-IN" sz="1000" b="1">
              <a:solidFill>
                <a:schemeClr val="bg1"/>
              </a:solidFill>
              <a:latin typeface="+mj-lt"/>
            </a:endParaRPr>
          </a:p>
        </xdr:txBody>
      </xdr:sp>
      <xdr:sp macro="" textlink="Pivot!B9">
        <xdr:nvSpPr>
          <xdr:cNvPr id="21" name="TextBox 20">
            <a:extLst>
              <a:ext uri="{FF2B5EF4-FFF2-40B4-BE49-F238E27FC236}">
                <a16:creationId xmlns:a16="http://schemas.microsoft.com/office/drawing/2014/main" id="{CCEC5270-CA8D-4110-9785-F8ADAC004571}"/>
              </a:ext>
            </a:extLst>
          </xdr:cNvPr>
          <xdr:cNvSpPr txBox="1"/>
        </xdr:nvSpPr>
        <xdr:spPr>
          <a:xfrm>
            <a:off x="5810251" y="3714750"/>
            <a:ext cx="638174" cy="55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7DB4E694-940D-46F7-9032-338289E7E7A1}" type="TxLink">
              <a:rPr lang="en-US" sz="3200" b="1" i="0" u="none" strike="noStrike">
                <a:solidFill>
                  <a:schemeClr val="bg1"/>
                </a:solidFill>
                <a:latin typeface="Aptos Narrow"/>
                <a:ea typeface="+mn-ea"/>
                <a:cs typeface="+mn-cs"/>
              </a:rPr>
              <a:pPr marL="0" indent="0"/>
              <a:t>17</a:t>
            </a:fld>
            <a:endParaRPr lang="en-IN" sz="3200" b="1" i="0" u="none" strike="noStrike">
              <a:solidFill>
                <a:schemeClr val="bg1"/>
              </a:solidFill>
              <a:latin typeface="Aptos Narrow"/>
              <a:ea typeface="+mn-ea"/>
              <a:cs typeface="+mn-cs"/>
            </a:endParaRPr>
          </a:p>
        </xdr:txBody>
      </xdr:sp>
    </xdr:grpSp>
    <xdr:clientData/>
  </xdr:twoCellAnchor>
  <xdr:oneCellAnchor>
    <xdr:from>
      <xdr:col>5</xdr:col>
      <xdr:colOff>257175</xdr:colOff>
      <xdr:row>15</xdr:row>
      <xdr:rowOff>57150</xdr:rowOff>
    </xdr:from>
    <xdr:ext cx="946156" cy="264560"/>
    <xdr:sp macro="" textlink="">
      <xdr:nvSpPr>
        <xdr:cNvPr id="22" name="TextBox 21">
          <a:extLst>
            <a:ext uri="{FF2B5EF4-FFF2-40B4-BE49-F238E27FC236}">
              <a16:creationId xmlns:a16="http://schemas.microsoft.com/office/drawing/2014/main" id="{91D2C926-B515-48C8-BF2E-FAFE91FB6E82}"/>
            </a:ext>
          </a:extLst>
        </xdr:cNvPr>
        <xdr:cNvSpPr txBox="1"/>
      </xdr:nvSpPr>
      <xdr:spPr>
        <a:xfrm>
          <a:off x="3686175" y="2771775"/>
          <a:ext cx="9461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Total</a:t>
          </a:r>
          <a:r>
            <a:rPr lang="en-IN" sz="1100" baseline="0">
              <a:solidFill>
                <a:schemeClr val="bg1"/>
              </a:solidFill>
            </a:rPr>
            <a:t> Salaries</a:t>
          </a:r>
          <a:endParaRPr lang="en-IN" sz="1100">
            <a:solidFill>
              <a:schemeClr val="bg1"/>
            </a:solidFill>
          </a:endParaRPr>
        </a:p>
      </xdr:txBody>
    </xdr:sp>
    <xdr:clientData/>
  </xdr:oneCellAnchor>
  <xdr:oneCellAnchor>
    <xdr:from>
      <xdr:col>5</xdr:col>
      <xdr:colOff>228599</xdr:colOff>
      <xdr:row>16</xdr:row>
      <xdr:rowOff>123825</xdr:rowOff>
    </xdr:from>
    <xdr:ext cx="638508" cy="264560"/>
    <xdr:sp macro="" textlink="">
      <xdr:nvSpPr>
        <xdr:cNvPr id="23" name="TextBox 22">
          <a:extLst>
            <a:ext uri="{FF2B5EF4-FFF2-40B4-BE49-F238E27FC236}">
              <a16:creationId xmlns:a16="http://schemas.microsoft.com/office/drawing/2014/main" id="{2F5D8AE8-4B94-4ADD-B117-57CA7584F68F}"/>
            </a:ext>
          </a:extLst>
        </xdr:cNvPr>
        <xdr:cNvSpPr txBox="1"/>
      </xdr:nvSpPr>
      <xdr:spPr>
        <a:xfrm>
          <a:off x="3657599" y="3019425"/>
          <a:ext cx="63850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lt1"/>
              </a:solidFill>
              <a:latin typeface="+mn-lt"/>
              <a:ea typeface="+mn-ea"/>
              <a:cs typeface="+mn-cs"/>
            </a:rPr>
            <a:t> Analyst</a:t>
          </a:r>
        </a:p>
      </xdr:txBody>
    </xdr:sp>
    <xdr:clientData/>
  </xdr:oneCellAnchor>
  <xdr:oneCellAnchor>
    <xdr:from>
      <xdr:col>5</xdr:col>
      <xdr:colOff>228599</xdr:colOff>
      <xdr:row>18</xdr:row>
      <xdr:rowOff>9525</xdr:rowOff>
    </xdr:from>
    <xdr:ext cx="721031" cy="264560"/>
    <xdr:sp macro="" textlink="">
      <xdr:nvSpPr>
        <xdr:cNvPr id="24" name="TextBox 23">
          <a:extLst>
            <a:ext uri="{FF2B5EF4-FFF2-40B4-BE49-F238E27FC236}">
              <a16:creationId xmlns:a16="http://schemas.microsoft.com/office/drawing/2014/main" id="{AAE766CE-704F-4E7B-9924-A2CDF7646196}"/>
            </a:ext>
          </a:extLst>
        </xdr:cNvPr>
        <xdr:cNvSpPr txBox="1"/>
      </xdr:nvSpPr>
      <xdr:spPr>
        <a:xfrm>
          <a:off x="3657599" y="3267075"/>
          <a:ext cx="7210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lt1"/>
              </a:solidFill>
              <a:latin typeface="+mn-lt"/>
              <a:ea typeface="+mn-ea"/>
              <a:cs typeface="+mn-cs"/>
            </a:rPr>
            <a:t> Designer</a:t>
          </a:r>
        </a:p>
      </xdr:txBody>
    </xdr:sp>
    <xdr:clientData/>
  </xdr:oneCellAnchor>
  <xdr:oneCellAnchor>
    <xdr:from>
      <xdr:col>5</xdr:col>
      <xdr:colOff>219074</xdr:colOff>
      <xdr:row>19</xdr:row>
      <xdr:rowOff>76200</xdr:rowOff>
    </xdr:from>
    <xdr:ext cx="807785" cy="264560"/>
    <xdr:sp macro="" textlink="">
      <xdr:nvSpPr>
        <xdr:cNvPr id="25" name="TextBox 24">
          <a:extLst>
            <a:ext uri="{FF2B5EF4-FFF2-40B4-BE49-F238E27FC236}">
              <a16:creationId xmlns:a16="http://schemas.microsoft.com/office/drawing/2014/main" id="{87CFBCF4-9582-4FED-9811-DEEBFC012CD9}"/>
            </a:ext>
          </a:extLst>
        </xdr:cNvPr>
        <xdr:cNvSpPr txBox="1"/>
      </xdr:nvSpPr>
      <xdr:spPr>
        <a:xfrm>
          <a:off x="3648074" y="3514725"/>
          <a:ext cx="8077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lt1"/>
              </a:solidFill>
              <a:latin typeface="+mn-lt"/>
              <a:ea typeface="+mn-ea"/>
              <a:cs typeface="+mn-cs"/>
            </a:rPr>
            <a:t> Developer</a:t>
          </a:r>
        </a:p>
      </xdr:txBody>
    </xdr:sp>
    <xdr:clientData/>
  </xdr:oneCellAnchor>
  <xdr:oneCellAnchor>
    <xdr:from>
      <xdr:col>5</xdr:col>
      <xdr:colOff>238124</xdr:colOff>
      <xdr:row>20</xdr:row>
      <xdr:rowOff>133350</xdr:rowOff>
    </xdr:from>
    <xdr:ext cx="948849" cy="264560"/>
    <xdr:sp macro="" textlink="">
      <xdr:nvSpPr>
        <xdr:cNvPr id="26" name="TextBox 25">
          <a:extLst>
            <a:ext uri="{FF2B5EF4-FFF2-40B4-BE49-F238E27FC236}">
              <a16:creationId xmlns:a16="http://schemas.microsoft.com/office/drawing/2014/main" id="{2D9E1AB1-0F73-4B06-B181-88931CA16281}"/>
            </a:ext>
          </a:extLst>
        </xdr:cNvPr>
        <xdr:cNvSpPr txBox="1"/>
      </xdr:nvSpPr>
      <xdr:spPr>
        <a:xfrm>
          <a:off x="3667124" y="3752850"/>
          <a:ext cx="9488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lt1"/>
              </a:solidFill>
              <a:latin typeface="+mn-lt"/>
              <a:ea typeface="+mn-ea"/>
              <a:cs typeface="+mn-cs"/>
            </a:rPr>
            <a:t> HR</a:t>
          </a:r>
          <a:r>
            <a:rPr lang="en-IN" sz="1100" baseline="0">
              <a:solidFill>
                <a:schemeClr val="lt1"/>
              </a:solidFill>
              <a:latin typeface="+mn-lt"/>
              <a:ea typeface="+mn-ea"/>
              <a:cs typeface="+mn-cs"/>
            </a:rPr>
            <a:t> Specialist</a:t>
          </a:r>
          <a:endParaRPr lang="en-IN" sz="1100">
            <a:solidFill>
              <a:schemeClr val="lt1"/>
            </a:solidFill>
            <a:latin typeface="+mn-lt"/>
            <a:ea typeface="+mn-ea"/>
            <a:cs typeface="+mn-cs"/>
          </a:endParaRPr>
        </a:p>
      </xdr:txBody>
    </xdr:sp>
    <xdr:clientData/>
  </xdr:oneCellAnchor>
  <xdr:twoCellAnchor>
    <xdr:from>
      <xdr:col>6</xdr:col>
      <xdr:colOff>504824</xdr:colOff>
      <xdr:row>16</xdr:row>
      <xdr:rowOff>161925</xdr:rowOff>
    </xdr:from>
    <xdr:to>
      <xdr:col>7</xdr:col>
      <xdr:colOff>533399</xdr:colOff>
      <xdr:row>17</xdr:row>
      <xdr:rowOff>161925</xdr:rowOff>
    </xdr:to>
    <xdr:sp macro="" textlink="">
      <xdr:nvSpPr>
        <xdr:cNvPr id="45" name="Rectangle: Rounded Corners 44">
          <a:extLst>
            <a:ext uri="{FF2B5EF4-FFF2-40B4-BE49-F238E27FC236}">
              <a16:creationId xmlns:a16="http://schemas.microsoft.com/office/drawing/2014/main" id="{FFF1AE1F-BDF4-4881-92C3-1A004701B420}"/>
            </a:ext>
          </a:extLst>
        </xdr:cNvPr>
        <xdr:cNvSpPr/>
      </xdr:nvSpPr>
      <xdr:spPr>
        <a:xfrm>
          <a:off x="4619624" y="3057525"/>
          <a:ext cx="714375" cy="180975"/>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247649</xdr:colOff>
      <xdr:row>22</xdr:row>
      <xdr:rowOff>0</xdr:rowOff>
    </xdr:from>
    <xdr:ext cx="732252" cy="264560"/>
    <xdr:sp macro="" textlink="">
      <xdr:nvSpPr>
        <xdr:cNvPr id="27" name="TextBox 26">
          <a:extLst>
            <a:ext uri="{FF2B5EF4-FFF2-40B4-BE49-F238E27FC236}">
              <a16:creationId xmlns:a16="http://schemas.microsoft.com/office/drawing/2014/main" id="{9D69FA86-7512-4A18-90EF-EB127FCBFE3E}"/>
            </a:ext>
          </a:extLst>
        </xdr:cNvPr>
        <xdr:cNvSpPr txBox="1"/>
      </xdr:nvSpPr>
      <xdr:spPr>
        <a:xfrm>
          <a:off x="3676649" y="3981450"/>
          <a:ext cx="73225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lt1"/>
              </a:solidFill>
              <a:latin typeface="+mn-lt"/>
              <a:ea typeface="+mn-ea"/>
              <a:cs typeface="+mn-cs"/>
            </a:rPr>
            <a:t> Manager</a:t>
          </a:r>
        </a:p>
      </xdr:txBody>
    </xdr:sp>
    <xdr:clientData/>
  </xdr:oneCellAnchor>
  <xdr:oneCellAnchor>
    <xdr:from>
      <xdr:col>6</xdr:col>
      <xdr:colOff>547744</xdr:colOff>
      <xdr:row>16</xdr:row>
      <xdr:rowOff>114300</xdr:rowOff>
    </xdr:from>
    <xdr:ext cx="613630" cy="264560"/>
    <xdr:sp macro="" textlink="Pivot!F11">
      <xdr:nvSpPr>
        <xdr:cNvPr id="29" name="TextBox 28">
          <a:extLst>
            <a:ext uri="{FF2B5EF4-FFF2-40B4-BE49-F238E27FC236}">
              <a16:creationId xmlns:a16="http://schemas.microsoft.com/office/drawing/2014/main" id="{5B35264C-B4A8-4346-AAAB-D86B7861CFCE}"/>
            </a:ext>
          </a:extLst>
        </xdr:cNvPr>
        <xdr:cNvSpPr txBox="1"/>
      </xdr:nvSpPr>
      <xdr:spPr>
        <a:xfrm>
          <a:off x="4662544" y="3009900"/>
          <a:ext cx="613630"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841DB72-2C6F-4AF6-8C4C-A6051A9B9527}" type="TxLink">
            <a:rPr lang="en-US" sz="1100" b="0" i="0" u="none" strike="noStrike">
              <a:solidFill>
                <a:schemeClr val="bg1"/>
              </a:solidFill>
              <a:latin typeface="Aptos Narrow"/>
              <a:ea typeface="+mn-ea"/>
              <a:cs typeface="+mn-cs"/>
            </a:rPr>
            <a:pPr/>
            <a:t>167041</a:t>
          </a:fld>
          <a:endParaRPr lang="en-IN" sz="1100">
            <a:solidFill>
              <a:schemeClr val="bg1"/>
            </a:solidFill>
            <a:latin typeface="+mn-lt"/>
            <a:ea typeface="+mn-ea"/>
            <a:cs typeface="+mn-cs"/>
          </a:endParaRPr>
        </a:p>
      </xdr:txBody>
    </xdr:sp>
    <xdr:clientData/>
  </xdr:oneCellAnchor>
  <xdr:twoCellAnchor>
    <xdr:from>
      <xdr:col>6</xdr:col>
      <xdr:colOff>504824</xdr:colOff>
      <xdr:row>18</xdr:row>
      <xdr:rowOff>38100</xdr:rowOff>
    </xdr:from>
    <xdr:to>
      <xdr:col>7</xdr:col>
      <xdr:colOff>533399</xdr:colOff>
      <xdr:row>19</xdr:row>
      <xdr:rowOff>38100</xdr:rowOff>
    </xdr:to>
    <xdr:sp macro="" textlink="">
      <xdr:nvSpPr>
        <xdr:cNvPr id="46" name="Rectangle: Rounded Corners 45">
          <a:extLst>
            <a:ext uri="{FF2B5EF4-FFF2-40B4-BE49-F238E27FC236}">
              <a16:creationId xmlns:a16="http://schemas.microsoft.com/office/drawing/2014/main" id="{9749DC66-9442-437E-8A27-C35836A7A984}"/>
            </a:ext>
          </a:extLst>
        </xdr:cNvPr>
        <xdr:cNvSpPr/>
      </xdr:nvSpPr>
      <xdr:spPr>
        <a:xfrm>
          <a:off x="4619624" y="3295650"/>
          <a:ext cx="714375" cy="180975"/>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504824</xdr:colOff>
      <xdr:row>19</xdr:row>
      <xdr:rowOff>104775</xdr:rowOff>
    </xdr:from>
    <xdr:to>
      <xdr:col>7</xdr:col>
      <xdr:colOff>533399</xdr:colOff>
      <xdr:row>20</xdr:row>
      <xdr:rowOff>104775</xdr:rowOff>
    </xdr:to>
    <xdr:sp macro="" textlink="">
      <xdr:nvSpPr>
        <xdr:cNvPr id="47" name="Rectangle: Rounded Corners 46">
          <a:extLst>
            <a:ext uri="{FF2B5EF4-FFF2-40B4-BE49-F238E27FC236}">
              <a16:creationId xmlns:a16="http://schemas.microsoft.com/office/drawing/2014/main" id="{DB5B910E-3405-4EA5-A929-72758913F6CE}"/>
            </a:ext>
          </a:extLst>
        </xdr:cNvPr>
        <xdr:cNvSpPr/>
      </xdr:nvSpPr>
      <xdr:spPr>
        <a:xfrm>
          <a:off x="4619624" y="3543300"/>
          <a:ext cx="714375" cy="180975"/>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557269</xdr:colOff>
      <xdr:row>17</xdr:row>
      <xdr:rowOff>171450</xdr:rowOff>
    </xdr:from>
    <xdr:ext cx="613630" cy="264560"/>
    <xdr:sp macro="" textlink="Pivot!F12">
      <xdr:nvSpPr>
        <xdr:cNvPr id="30" name="TextBox 29">
          <a:extLst>
            <a:ext uri="{FF2B5EF4-FFF2-40B4-BE49-F238E27FC236}">
              <a16:creationId xmlns:a16="http://schemas.microsoft.com/office/drawing/2014/main" id="{3074DD97-2F02-4FCC-A9A0-1FE339C27DC7}"/>
            </a:ext>
          </a:extLst>
        </xdr:cNvPr>
        <xdr:cNvSpPr txBox="1"/>
      </xdr:nvSpPr>
      <xdr:spPr>
        <a:xfrm>
          <a:off x="4672069" y="3248025"/>
          <a:ext cx="6136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FD2F8B2-21D2-443E-832B-F9256D8D846A}" type="TxLink">
            <a:rPr lang="en-US" sz="1100" b="0" i="0" u="none" strike="noStrike">
              <a:solidFill>
                <a:schemeClr val="bg1"/>
              </a:solidFill>
              <a:latin typeface="Aptos Narrow"/>
              <a:ea typeface="+mn-ea"/>
              <a:cs typeface="+mn-cs"/>
            </a:rPr>
            <a:pPr/>
            <a:t>613842</a:t>
          </a:fld>
          <a:endParaRPr lang="en-US" sz="1100" b="0" i="0" u="none" strike="noStrike">
            <a:solidFill>
              <a:schemeClr val="bg1"/>
            </a:solidFill>
            <a:latin typeface="Aptos Narrow"/>
            <a:ea typeface="+mn-ea"/>
            <a:cs typeface="+mn-cs"/>
          </a:endParaRPr>
        </a:p>
      </xdr:txBody>
    </xdr:sp>
    <xdr:clientData/>
  </xdr:oneCellAnchor>
  <xdr:oneCellAnchor>
    <xdr:from>
      <xdr:col>6</xdr:col>
      <xdr:colOff>557269</xdr:colOff>
      <xdr:row>19</xdr:row>
      <xdr:rowOff>76200</xdr:rowOff>
    </xdr:from>
    <xdr:ext cx="613630" cy="264560"/>
    <xdr:sp macro="" textlink="Pivot!F13">
      <xdr:nvSpPr>
        <xdr:cNvPr id="31" name="TextBox 30">
          <a:extLst>
            <a:ext uri="{FF2B5EF4-FFF2-40B4-BE49-F238E27FC236}">
              <a16:creationId xmlns:a16="http://schemas.microsoft.com/office/drawing/2014/main" id="{14E6F123-FBB0-4221-BBE3-01188E037A01}"/>
            </a:ext>
          </a:extLst>
        </xdr:cNvPr>
        <xdr:cNvSpPr txBox="1"/>
      </xdr:nvSpPr>
      <xdr:spPr>
        <a:xfrm>
          <a:off x="4672069" y="3514725"/>
          <a:ext cx="6136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87067F5-0757-4082-B03B-48AA4B623AAD}" type="TxLink">
            <a:rPr lang="en-US" sz="1100" b="0" i="0" u="none" strike="noStrike">
              <a:solidFill>
                <a:schemeClr val="bg1"/>
              </a:solidFill>
              <a:latin typeface="Aptos Narrow"/>
              <a:ea typeface="+mn-ea"/>
              <a:cs typeface="+mn-cs"/>
            </a:rPr>
            <a:pPr/>
            <a:t>633594</a:t>
          </a:fld>
          <a:endParaRPr lang="en-US" sz="1100" b="0" i="0" u="none" strike="noStrike">
            <a:solidFill>
              <a:schemeClr val="bg1"/>
            </a:solidFill>
            <a:latin typeface="Aptos Narrow"/>
            <a:ea typeface="+mn-ea"/>
            <a:cs typeface="+mn-cs"/>
          </a:endParaRPr>
        </a:p>
      </xdr:txBody>
    </xdr:sp>
    <xdr:clientData/>
  </xdr:oneCellAnchor>
  <xdr:twoCellAnchor>
    <xdr:from>
      <xdr:col>6</xdr:col>
      <xdr:colOff>504825</xdr:colOff>
      <xdr:row>15</xdr:row>
      <xdr:rowOff>85724</xdr:rowOff>
    </xdr:from>
    <xdr:to>
      <xdr:col>7</xdr:col>
      <xdr:colOff>533400</xdr:colOff>
      <xdr:row>16</xdr:row>
      <xdr:rowOff>123824</xdr:rowOff>
    </xdr:to>
    <xdr:sp macro="" textlink="">
      <xdr:nvSpPr>
        <xdr:cNvPr id="43" name="Rectangle: Rounded Corners 42">
          <a:extLst>
            <a:ext uri="{FF2B5EF4-FFF2-40B4-BE49-F238E27FC236}">
              <a16:creationId xmlns:a16="http://schemas.microsoft.com/office/drawing/2014/main" id="{2F2DC025-8947-4C6B-BE9C-15E6C0684F71}"/>
            </a:ext>
          </a:extLst>
        </xdr:cNvPr>
        <xdr:cNvSpPr/>
      </xdr:nvSpPr>
      <xdr:spPr>
        <a:xfrm>
          <a:off x="4619625" y="2800349"/>
          <a:ext cx="714375" cy="219075"/>
        </a:xfrm>
        <a:prstGeom prst="round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542925</xdr:colOff>
      <xdr:row>15</xdr:row>
      <xdr:rowOff>47625</xdr:rowOff>
    </xdr:from>
    <xdr:ext cx="685124" cy="264560"/>
    <xdr:sp macro="" textlink="Pivot!F16">
      <xdr:nvSpPr>
        <xdr:cNvPr id="28" name="TextBox 27">
          <a:extLst>
            <a:ext uri="{FF2B5EF4-FFF2-40B4-BE49-F238E27FC236}">
              <a16:creationId xmlns:a16="http://schemas.microsoft.com/office/drawing/2014/main" id="{DB11B902-3B92-4EDE-A4C3-D6BF268BF473}"/>
            </a:ext>
          </a:extLst>
        </xdr:cNvPr>
        <xdr:cNvSpPr txBox="1"/>
      </xdr:nvSpPr>
      <xdr:spPr>
        <a:xfrm>
          <a:off x="4657725" y="2762250"/>
          <a:ext cx="6851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8A756CC-D27C-4C12-A873-4F2A605D872B}" type="TxLink">
            <a:rPr lang="en-US" sz="1100" b="1" i="0" u="none" strike="noStrike">
              <a:solidFill>
                <a:sysClr val="windowText" lastClr="000000"/>
              </a:solidFill>
              <a:latin typeface="Aptos Narrow"/>
            </a:rPr>
            <a:pPr/>
            <a:t>3104913</a:t>
          </a:fld>
          <a:endParaRPr lang="en-IN" sz="1100" b="1">
            <a:solidFill>
              <a:sysClr val="windowText" lastClr="000000"/>
            </a:solidFill>
          </a:endParaRPr>
        </a:p>
      </xdr:txBody>
    </xdr:sp>
    <xdr:clientData/>
  </xdr:oneCellAnchor>
  <xdr:twoCellAnchor>
    <xdr:from>
      <xdr:col>6</xdr:col>
      <xdr:colOff>504824</xdr:colOff>
      <xdr:row>21</xdr:row>
      <xdr:rowOff>0</xdr:rowOff>
    </xdr:from>
    <xdr:to>
      <xdr:col>7</xdr:col>
      <xdr:colOff>533399</xdr:colOff>
      <xdr:row>22</xdr:row>
      <xdr:rowOff>0</xdr:rowOff>
    </xdr:to>
    <xdr:sp macro="" textlink="">
      <xdr:nvSpPr>
        <xdr:cNvPr id="48" name="Rectangle: Rounded Corners 47">
          <a:extLst>
            <a:ext uri="{FF2B5EF4-FFF2-40B4-BE49-F238E27FC236}">
              <a16:creationId xmlns:a16="http://schemas.microsoft.com/office/drawing/2014/main" id="{2803AFE7-1ADA-4337-9EE0-7AA16D6773C5}"/>
            </a:ext>
          </a:extLst>
        </xdr:cNvPr>
        <xdr:cNvSpPr/>
      </xdr:nvSpPr>
      <xdr:spPr>
        <a:xfrm>
          <a:off x="4619624" y="3800475"/>
          <a:ext cx="714375" cy="180975"/>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557269</xdr:colOff>
      <xdr:row>20</xdr:row>
      <xdr:rowOff>142875</xdr:rowOff>
    </xdr:from>
    <xdr:ext cx="613630" cy="264560"/>
    <xdr:sp macro="" textlink="Pivot!F14">
      <xdr:nvSpPr>
        <xdr:cNvPr id="32" name="TextBox 31">
          <a:extLst>
            <a:ext uri="{FF2B5EF4-FFF2-40B4-BE49-F238E27FC236}">
              <a16:creationId xmlns:a16="http://schemas.microsoft.com/office/drawing/2014/main" id="{B74A9EFA-0C88-41E0-BA2A-453B72DF7469}"/>
            </a:ext>
          </a:extLst>
        </xdr:cNvPr>
        <xdr:cNvSpPr txBox="1"/>
      </xdr:nvSpPr>
      <xdr:spPr>
        <a:xfrm>
          <a:off x="4672069" y="3762375"/>
          <a:ext cx="6136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5DD3906-A21C-4EE3-9183-CD877D418817}" type="TxLink">
            <a:rPr lang="en-US" sz="1100" b="0" i="0" u="none" strike="noStrike">
              <a:solidFill>
                <a:schemeClr val="bg1"/>
              </a:solidFill>
              <a:latin typeface="Aptos Narrow"/>
              <a:ea typeface="+mn-ea"/>
              <a:cs typeface="+mn-cs"/>
            </a:rPr>
            <a:pPr/>
            <a:t>959266</a:t>
          </a:fld>
          <a:endParaRPr lang="en-US" sz="1100" b="0" i="0" u="none" strike="noStrike">
            <a:solidFill>
              <a:schemeClr val="bg1"/>
            </a:solidFill>
            <a:latin typeface="Aptos Narrow"/>
            <a:ea typeface="+mn-ea"/>
            <a:cs typeface="+mn-cs"/>
          </a:endParaRPr>
        </a:p>
      </xdr:txBody>
    </xdr:sp>
    <xdr:clientData/>
  </xdr:oneCellAnchor>
  <xdr:twoCellAnchor>
    <xdr:from>
      <xdr:col>6</xdr:col>
      <xdr:colOff>504824</xdr:colOff>
      <xdr:row>22</xdr:row>
      <xdr:rowOff>76200</xdr:rowOff>
    </xdr:from>
    <xdr:to>
      <xdr:col>7</xdr:col>
      <xdr:colOff>533399</xdr:colOff>
      <xdr:row>23</xdr:row>
      <xdr:rowOff>76200</xdr:rowOff>
    </xdr:to>
    <xdr:sp macro="" textlink="">
      <xdr:nvSpPr>
        <xdr:cNvPr id="49" name="Rectangle: Rounded Corners 48">
          <a:extLst>
            <a:ext uri="{FF2B5EF4-FFF2-40B4-BE49-F238E27FC236}">
              <a16:creationId xmlns:a16="http://schemas.microsoft.com/office/drawing/2014/main" id="{C62786F1-AE4E-4C08-9BE7-1497533912F2}"/>
            </a:ext>
          </a:extLst>
        </xdr:cNvPr>
        <xdr:cNvSpPr/>
      </xdr:nvSpPr>
      <xdr:spPr>
        <a:xfrm>
          <a:off x="4619624" y="4057650"/>
          <a:ext cx="714375" cy="180975"/>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538219</xdr:colOff>
      <xdr:row>22</xdr:row>
      <xdr:rowOff>9525</xdr:rowOff>
    </xdr:from>
    <xdr:ext cx="613630" cy="264560"/>
    <xdr:sp macro="" textlink="Pivot!F15">
      <xdr:nvSpPr>
        <xdr:cNvPr id="33" name="TextBox 32">
          <a:extLst>
            <a:ext uri="{FF2B5EF4-FFF2-40B4-BE49-F238E27FC236}">
              <a16:creationId xmlns:a16="http://schemas.microsoft.com/office/drawing/2014/main" id="{A376D203-BA44-4EF2-9148-598BF7C274CD}"/>
            </a:ext>
          </a:extLst>
        </xdr:cNvPr>
        <xdr:cNvSpPr txBox="1"/>
      </xdr:nvSpPr>
      <xdr:spPr>
        <a:xfrm>
          <a:off x="4653019" y="3990975"/>
          <a:ext cx="6136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DA02D1C-79DA-4CF6-A0A0-895CE5CFDD51}" type="TxLink">
            <a:rPr lang="en-US" sz="1100" b="0" i="0" u="none" strike="noStrike">
              <a:solidFill>
                <a:schemeClr val="bg1"/>
              </a:solidFill>
              <a:latin typeface="Aptos Narrow"/>
              <a:ea typeface="+mn-ea"/>
              <a:cs typeface="+mn-cs"/>
            </a:rPr>
            <a:pPr/>
            <a:t>731170</a:t>
          </a:fld>
          <a:endParaRPr lang="en-US" sz="1100" b="0" i="0" u="none" strike="noStrike">
            <a:solidFill>
              <a:schemeClr val="bg1"/>
            </a:solidFill>
            <a:latin typeface="Aptos Narrow"/>
            <a:ea typeface="+mn-ea"/>
            <a:cs typeface="+mn-cs"/>
          </a:endParaRPr>
        </a:p>
      </xdr:txBody>
    </xdr:sp>
    <xdr:clientData/>
  </xdr:oneCellAnchor>
  <xdr:oneCellAnchor>
    <xdr:from>
      <xdr:col>15</xdr:col>
      <xdr:colOff>352425</xdr:colOff>
      <xdr:row>15</xdr:row>
      <xdr:rowOff>28575</xdr:rowOff>
    </xdr:from>
    <xdr:ext cx="184731" cy="264560"/>
    <xdr:sp macro="" textlink="">
      <xdr:nvSpPr>
        <xdr:cNvPr id="37" name="TextBox 36">
          <a:extLst>
            <a:ext uri="{FF2B5EF4-FFF2-40B4-BE49-F238E27FC236}">
              <a16:creationId xmlns:a16="http://schemas.microsoft.com/office/drawing/2014/main" id="{A652983D-B51B-4B33-8884-9ACFC69CD63C}"/>
            </a:ext>
          </a:extLst>
        </xdr:cNvPr>
        <xdr:cNvSpPr txBox="1"/>
      </xdr:nvSpPr>
      <xdr:spPr>
        <a:xfrm>
          <a:off x="10639425" y="274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276225</xdr:colOff>
      <xdr:row>13</xdr:row>
      <xdr:rowOff>38100</xdr:rowOff>
    </xdr:from>
    <xdr:ext cx="760786" cy="311496"/>
    <xdr:sp macro="" textlink="">
      <xdr:nvSpPr>
        <xdr:cNvPr id="50" name="TextBox 49">
          <a:extLst>
            <a:ext uri="{FF2B5EF4-FFF2-40B4-BE49-F238E27FC236}">
              <a16:creationId xmlns:a16="http://schemas.microsoft.com/office/drawing/2014/main" id="{9F553A0A-B998-4966-99D0-88FEED47FA98}"/>
            </a:ext>
          </a:extLst>
        </xdr:cNvPr>
        <xdr:cNvSpPr txBox="1"/>
      </xdr:nvSpPr>
      <xdr:spPr>
        <a:xfrm>
          <a:off x="3705225" y="2390775"/>
          <a:ext cx="76078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rgbClr val="FF9900"/>
              </a:solidFill>
            </a:rPr>
            <a:t>Salaries</a:t>
          </a:r>
        </a:p>
      </xdr:txBody>
    </xdr:sp>
    <xdr:clientData/>
  </xdr:oneCellAnchor>
  <xdr:oneCellAnchor>
    <xdr:from>
      <xdr:col>6</xdr:col>
      <xdr:colOff>228600</xdr:colOff>
      <xdr:row>13</xdr:row>
      <xdr:rowOff>76200</xdr:rowOff>
    </xdr:from>
    <xdr:ext cx="742383" cy="248851"/>
    <xdr:sp macro="" textlink="">
      <xdr:nvSpPr>
        <xdr:cNvPr id="51" name="TextBox 50">
          <a:extLst>
            <a:ext uri="{FF2B5EF4-FFF2-40B4-BE49-F238E27FC236}">
              <a16:creationId xmlns:a16="http://schemas.microsoft.com/office/drawing/2014/main" id="{7E1F61DF-211F-482E-AD6C-EF0FEA9D3853}"/>
            </a:ext>
          </a:extLst>
        </xdr:cNvPr>
        <xdr:cNvSpPr txBox="1"/>
      </xdr:nvSpPr>
      <xdr:spPr>
        <a:xfrm>
          <a:off x="4343400" y="2428875"/>
          <a:ext cx="74238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2">
                  <a:lumMod val="75000"/>
                </a:schemeClr>
              </a:solidFill>
            </a:rPr>
            <a:t>by </a:t>
          </a:r>
          <a:r>
            <a:rPr lang="en-IN" sz="1000">
              <a:solidFill>
                <a:schemeClr val="bg2">
                  <a:lumMod val="75000"/>
                </a:schemeClr>
              </a:solidFill>
              <a:latin typeface="+mn-lt"/>
              <a:ea typeface="+mn-ea"/>
              <a:cs typeface="+mn-cs"/>
            </a:rPr>
            <a:t>job</a:t>
          </a:r>
          <a:r>
            <a:rPr lang="en-IN" sz="1000">
              <a:solidFill>
                <a:schemeClr val="bg2">
                  <a:lumMod val="75000"/>
                </a:schemeClr>
              </a:solidFill>
            </a:rPr>
            <a:t> title</a:t>
          </a:r>
        </a:p>
      </xdr:txBody>
    </xdr:sp>
    <xdr:clientData/>
  </xdr:oneCellAnchor>
  <xdr:twoCellAnchor>
    <xdr:from>
      <xdr:col>7</xdr:col>
      <xdr:colOff>647700</xdr:colOff>
      <xdr:row>13</xdr:row>
      <xdr:rowOff>66675</xdr:rowOff>
    </xdr:from>
    <xdr:to>
      <xdr:col>9</xdr:col>
      <xdr:colOff>171450</xdr:colOff>
      <xdr:row>18</xdr:row>
      <xdr:rowOff>104775</xdr:rowOff>
    </xdr:to>
    <xdr:graphicFrame macro="">
      <xdr:nvGraphicFramePr>
        <xdr:cNvPr id="52" name="Chart 51">
          <a:extLst>
            <a:ext uri="{FF2B5EF4-FFF2-40B4-BE49-F238E27FC236}">
              <a16:creationId xmlns:a16="http://schemas.microsoft.com/office/drawing/2014/main" id="{F54F8E34-D9A7-4301-959A-16DE99219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161925</xdr:colOff>
      <xdr:row>14</xdr:row>
      <xdr:rowOff>85725</xdr:rowOff>
    </xdr:from>
    <xdr:to>
      <xdr:col>10</xdr:col>
      <xdr:colOff>304800</xdr:colOff>
      <xdr:row>15</xdr:row>
      <xdr:rowOff>38100</xdr:rowOff>
    </xdr:to>
    <xdr:sp macro="" textlink="">
      <xdr:nvSpPr>
        <xdr:cNvPr id="38" name="Oval 37">
          <a:extLst>
            <a:ext uri="{FF2B5EF4-FFF2-40B4-BE49-F238E27FC236}">
              <a16:creationId xmlns:a16="http://schemas.microsoft.com/office/drawing/2014/main" id="{9AD96691-CCDD-44A9-8164-FB9433143EA3}"/>
            </a:ext>
          </a:extLst>
        </xdr:cNvPr>
        <xdr:cNvSpPr/>
      </xdr:nvSpPr>
      <xdr:spPr>
        <a:xfrm>
          <a:off x="7019925" y="2619375"/>
          <a:ext cx="142875" cy="1333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200025</xdr:colOff>
      <xdr:row>19</xdr:row>
      <xdr:rowOff>95250</xdr:rowOff>
    </xdr:from>
    <xdr:to>
      <xdr:col>10</xdr:col>
      <xdr:colOff>342900</xdr:colOff>
      <xdr:row>20</xdr:row>
      <xdr:rowOff>47625</xdr:rowOff>
    </xdr:to>
    <xdr:sp macro="" textlink="">
      <xdr:nvSpPr>
        <xdr:cNvPr id="53" name="Oval 52">
          <a:extLst>
            <a:ext uri="{FF2B5EF4-FFF2-40B4-BE49-F238E27FC236}">
              <a16:creationId xmlns:a16="http://schemas.microsoft.com/office/drawing/2014/main" id="{BCEE35C6-649B-4008-888A-11DBC10DA3C6}"/>
            </a:ext>
          </a:extLst>
        </xdr:cNvPr>
        <xdr:cNvSpPr/>
      </xdr:nvSpPr>
      <xdr:spPr>
        <a:xfrm>
          <a:off x="7058025" y="3533775"/>
          <a:ext cx="142875" cy="133350"/>
        </a:xfrm>
        <a:prstGeom prst="ellips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xdr:colOff>
      <xdr:row>19</xdr:row>
      <xdr:rowOff>104775</xdr:rowOff>
    </xdr:from>
    <xdr:to>
      <xdr:col>9</xdr:col>
      <xdr:colOff>180975</xdr:colOff>
      <xdr:row>20</xdr:row>
      <xdr:rowOff>57150</xdr:rowOff>
    </xdr:to>
    <xdr:sp macro="" textlink="">
      <xdr:nvSpPr>
        <xdr:cNvPr id="54" name="Oval 53">
          <a:extLst>
            <a:ext uri="{FF2B5EF4-FFF2-40B4-BE49-F238E27FC236}">
              <a16:creationId xmlns:a16="http://schemas.microsoft.com/office/drawing/2014/main" id="{DC7FF0BA-D89A-4380-AB36-F898BD8F27F9}"/>
            </a:ext>
          </a:extLst>
        </xdr:cNvPr>
        <xdr:cNvSpPr/>
      </xdr:nvSpPr>
      <xdr:spPr>
        <a:xfrm>
          <a:off x="6210300" y="3543300"/>
          <a:ext cx="142875" cy="133350"/>
        </a:xfrm>
        <a:prstGeom prst="ellipse">
          <a:avLst/>
        </a:prstGeom>
        <a:solidFill>
          <a:schemeClr val="bg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361950</xdr:colOff>
      <xdr:row>16</xdr:row>
      <xdr:rowOff>114300</xdr:rowOff>
    </xdr:from>
    <xdr:to>
      <xdr:col>5</xdr:col>
      <xdr:colOff>571499</xdr:colOff>
      <xdr:row>23</xdr:row>
      <xdr:rowOff>66674</xdr:rowOff>
    </xdr:to>
    <xdr:graphicFrame macro="">
      <xdr:nvGraphicFramePr>
        <xdr:cNvPr id="55" name="Chart 54">
          <a:extLst>
            <a:ext uri="{FF2B5EF4-FFF2-40B4-BE49-F238E27FC236}">
              <a16:creationId xmlns:a16="http://schemas.microsoft.com/office/drawing/2014/main" id="{A7607005-4213-4B94-B8E4-793067645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495300</xdr:colOff>
      <xdr:row>13</xdr:row>
      <xdr:rowOff>85725</xdr:rowOff>
    </xdr:from>
    <xdr:ext cx="971228" cy="311496"/>
    <xdr:sp macro="" textlink="">
      <xdr:nvSpPr>
        <xdr:cNvPr id="56" name="TextBox 55">
          <a:extLst>
            <a:ext uri="{FF2B5EF4-FFF2-40B4-BE49-F238E27FC236}">
              <a16:creationId xmlns:a16="http://schemas.microsoft.com/office/drawing/2014/main" id="{ED327EBA-69C5-48F5-9B92-7565260D5BB9}"/>
            </a:ext>
          </a:extLst>
        </xdr:cNvPr>
        <xdr:cNvSpPr txBox="1"/>
      </xdr:nvSpPr>
      <xdr:spPr>
        <a:xfrm>
          <a:off x="1866900" y="2438400"/>
          <a:ext cx="97122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rgbClr val="FF9900"/>
              </a:solidFill>
            </a:rPr>
            <a:t>Age</a:t>
          </a:r>
          <a:r>
            <a:rPr lang="en-IN" sz="1400" b="1" baseline="0">
              <a:solidFill>
                <a:srgbClr val="FF9900"/>
              </a:solidFill>
            </a:rPr>
            <a:t> Range</a:t>
          </a:r>
          <a:endParaRPr lang="en-IN" sz="1400" b="1">
            <a:solidFill>
              <a:srgbClr val="FF9900"/>
            </a:solidFill>
          </a:endParaRPr>
        </a:p>
      </xdr:txBody>
    </xdr:sp>
    <xdr:clientData/>
  </xdr:oneCellAnchor>
  <xdr:oneCellAnchor>
    <xdr:from>
      <xdr:col>2</xdr:col>
      <xdr:colOff>495300</xdr:colOff>
      <xdr:row>14</xdr:row>
      <xdr:rowOff>66675</xdr:rowOff>
    </xdr:from>
    <xdr:ext cx="1670650" cy="248851"/>
    <xdr:sp macro="" textlink="">
      <xdr:nvSpPr>
        <xdr:cNvPr id="57" name="TextBox 56">
          <a:extLst>
            <a:ext uri="{FF2B5EF4-FFF2-40B4-BE49-F238E27FC236}">
              <a16:creationId xmlns:a16="http://schemas.microsoft.com/office/drawing/2014/main" id="{4B3D9CEA-FA7F-46D1-BD16-5FEE9D69AB63}"/>
            </a:ext>
          </a:extLst>
        </xdr:cNvPr>
        <xdr:cNvSpPr txBox="1"/>
      </xdr:nvSpPr>
      <xdr:spPr>
        <a:xfrm>
          <a:off x="1866900" y="2600325"/>
          <a:ext cx="167065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2">
                  <a:lumMod val="75000"/>
                </a:schemeClr>
              </a:solidFill>
            </a:rPr>
            <a:t>No.of</a:t>
          </a:r>
          <a:r>
            <a:rPr lang="en-IN" sz="1000" baseline="0">
              <a:solidFill>
                <a:schemeClr val="bg2">
                  <a:lumMod val="75000"/>
                </a:schemeClr>
              </a:solidFill>
            </a:rPr>
            <a:t> employees </a:t>
          </a:r>
          <a:r>
            <a:rPr lang="en-IN" sz="1000">
              <a:solidFill>
                <a:schemeClr val="bg2">
                  <a:lumMod val="75000"/>
                </a:schemeClr>
              </a:solidFill>
            </a:rPr>
            <a:t>by</a:t>
          </a:r>
          <a:r>
            <a:rPr lang="en-IN" sz="1000" baseline="0">
              <a:solidFill>
                <a:schemeClr val="bg2">
                  <a:lumMod val="75000"/>
                </a:schemeClr>
              </a:solidFill>
            </a:rPr>
            <a:t> genders</a:t>
          </a:r>
          <a:endParaRPr lang="en-IN" sz="1000">
            <a:solidFill>
              <a:schemeClr val="bg2">
                <a:lumMod val="75000"/>
              </a:schemeClr>
            </a:solidFill>
          </a:endParaRPr>
        </a:p>
      </xdr:txBody>
    </xdr:sp>
    <xdr:clientData/>
  </xdr:oneCellAnchor>
  <xdr:oneCellAnchor>
    <xdr:from>
      <xdr:col>2</xdr:col>
      <xdr:colOff>609600</xdr:colOff>
      <xdr:row>15</xdr:row>
      <xdr:rowOff>85725</xdr:rowOff>
    </xdr:from>
    <xdr:ext cx="448969" cy="248851"/>
    <xdr:sp macro="" textlink="">
      <xdr:nvSpPr>
        <xdr:cNvPr id="58" name="TextBox 57">
          <a:extLst>
            <a:ext uri="{FF2B5EF4-FFF2-40B4-BE49-F238E27FC236}">
              <a16:creationId xmlns:a16="http://schemas.microsoft.com/office/drawing/2014/main" id="{CF3D22DC-A204-4AA9-8B14-7C53D374211F}"/>
            </a:ext>
          </a:extLst>
        </xdr:cNvPr>
        <xdr:cNvSpPr txBox="1"/>
      </xdr:nvSpPr>
      <xdr:spPr>
        <a:xfrm>
          <a:off x="1981200" y="2800350"/>
          <a:ext cx="44896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2"/>
              </a:solidFill>
            </a:rPr>
            <a:t>Male</a:t>
          </a:r>
        </a:p>
      </xdr:txBody>
    </xdr:sp>
    <xdr:clientData/>
  </xdr:oneCellAnchor>
  <xdr:oneCellAnchor>
    <xdr:from>
      <xdr:col>4</xdr:col>
      <xdr:colOff>285750</xdr:colOff>
      <xdr:row>15</xdr:row>
      <xdr:rowOff>66675</xdr:rowOff>
    </xdr:from>
    <xdr:ext cx="564514" cy="248851"/>
    <xdr:sp macro="" textlink="">
      <xdr:nvSpPr>
        <xdr:cNvPr id="59" name="TextBox 58">
          <a:extLst>
            <a:ext uri="{FF2B5EF4-FFF2-40B4-BE49-F238E27FC236}">
              <a16:creationId xmlns:a16="http://schemas.microsoft.com/office/drawing/2014/main" id="{50F41B0B-ECFB-441A-AE6D-970EF5EFB0AF}"/>
            </a:ext>
          </a:extLst>
        </xdr:cNvPr>
        <xdr:cNvSpPr txBox="1"/>
      </xdr:nvSpPr>
      <xdr:spPr>
        <a:xfrm>
          <a:off x="3028950" y="2781300"/>
          <a:ext cx="564514"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2"/>
              </a:solidFill>
            </a:rPr>
            <a:t>Female</a:t>
          </a:r>
        </a:p>
      </xdr:txBody>
    </xdr:sp>
    <xdr:clientData/>
  </xdr:oneCellAnchor>
  <xdr:twoCellAnchor>
    <xdr:from>
      <xdr:col>2</xdr:col>
      <xdr:colOff>581026</xdr:colOff>
      <xdr:row>16</xdr:row>
      <xdr:rowOff>0</xdr:rowOff>
    </xdr:from>
    <xdr:to>
      <xdr:col>2</xdr:col>
      <xdr:colOff>676276</xdr:colOff>
      <xdr:row>16</xdr:row>
      <xdr:rowOff>76200</xdr:rowOff>
    </xdr:to>
    <xdr:sp macro="" textlink="">
      <xdr:nvSpPr>
        <xdr:cNvPr id="60" name="Oval 59">
          <a:extLst>
            <a:ext uri="{FF2B5EF4-FFF2-40B4-BE49-F238E27FC236}">
              <a16:creationId xmlns:a16="http://schemas.microsoft.com/office/drawing/2014/main" id="{8B16F4CF-5C3E-4509-93D7-0D89F28AA9F5}"/>
            </a:ext>
          </a:extLst>
        </xdr:cNvPr>
        <xdr:cNvSpPr/>
      </xdr:nvSpPr>
      <xdr:spPr>
        <a:xfrm>
          <a:off x="1952626" y="2895600"/>
          <a:ext cx="95250" cy="76200"/>
        </a:xfrm>
        <a:prstGeom prst="ellips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12</xdr:row>
      <xdr:rowOff>85725</xdr:rowOff>
    </xdr:from>
    <xdr:to>
      <xdr:col>0</xdr:col>
      <xdr:colOff>0</xdr:colOff>
      <xdr:row>12</xdr:row>
      <xdr:rowOff>161925</xdr:rowOff>
    </xdr:to>
    <xdr:sp macro="" textlink="">
      <xdr:nvSpPr>
        <xdr:cNvPr id="61" name="Oval 60">
          <a:extLst>
            <a:ext uri="{FF2B5EF4-FFF2-40B4-BE49-F238E27FC236}">
              <a16:creationId xmlns:a16="http://schemas.microsoft.com/office/drawing/2014/main" id="{FD12840D-08B3-435A-B457-D29348A562AD}"/>
            </a:ext>
          </a:extLst>
        </xdr:cNvPr>
        <xdr:cNvSpPr/>
      </xdr:nvSpPr>
      <xdr:spPr>
        <a:xfrm>
          <a:off x="0" y="2257425"/>
          <a:ext cx="0" cy="76200"/>
        </a:xfrm>
        <a:prstGeom prst="ellipse">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247651</xdr:colOff>
      <xdr:row>15</xdr:row>
      <xdr:rowOff>161925</xdr:rowOff>
    </xdr:from>
    <xdr:to>
      <xdr:col>4</xdr:col>
      <xdr:colOff>342901</xdr:colOff>
      <xdr:row>16</xdr:row>
      <xdr:rowOff>57150</xdr:rowOff>
    </xdr:to>
    <xdr:sp macro="" textlink="">
      <xdr:nvSpPr>
        <xdr:cNvPr id="62" name="Oval 61">
          <a:extLst>
            <a:ext uri="{FF2B5EF4-FFF2-40B4-BE49-F238E27FC236}">
              <a16:creationId xmlns:a16="http://schemas.microsoft.com/office/drawing/2014/main" id="{785D5C03-34E3-4A39-B324-2D768D3C2DBA}"/>
            </a:ext>
          </a:extLst>
        </xdr:cNvPr>
        <xdr:cNvSpPr/>
      </xdr:nvSpPr>
      <xdr:spPr>
        <a:xfrm>
          <a:off x="2990851" y="2876550"/>
          <a:ext cx="95250" cy="76200"/>
        </a:xfrm>
        <a:prstGeom prst="ellipse">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18</xdr:row>
      <xdr:rowOff>19050</xdr:rowOff>
    </xdr:from>
    <xdr:to>
      <xdr:col>2</xdr:col>
      <xdr:colOff>171450</xdr:colOff>
      <xdr:row>21</xdr:row>
      <xdr:rowOff>66675</xdr:rowOff>
    </xdr:to>
    <xdr:graphicFrame macro="">
      <xdr:nvGraphicFramePr>
        <xdr:cNvPr id="63" name="Chart 62">
          <a:extLst>
            <a:ext uri="{FF2B5EF4-FFF2-40B4-BE49-F238E27FC236}">
              <a16:creationId xmlns:a16="http://schemas.microsoft.com/office/drawing/2014/main" id="{DE52092D-C5FD-4A59-9B8A-802D355CA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15</xdr:row>
      <xdr:rowOff>133350</xdr:rowOff>
    </xdr:from>
    <xdr:to>
      <xdr:col>2</xdr:col>
      <xdr:colOff>209550</xdr:colOff>
      <xdr:row>19</xdr:row>
      <xdr:rowOff>57150</xdr:rowOff>
    </xdr:to>
    <xdr:graphicFrame macro="">
      <xdr:nvGraphicFramePr>
        <xdr:cNvPr id="64" name="Chart 63">
          <a:extLst>
            <a:ext uri="{FF2B5EF4-FFF2-40B4-BE49-F238E27FC236}">
              <a16:creationId xmlns:a16="http://schemas.microsoft.com/office/drawing/2014/main" id="{F1AA769A-BA34-430D-9311-D8A97FF42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147638</xdr:colOff>
      <xdr:row>20</xdr:row>
      <xdr:rowOff>85725</xdr:rowOff>
    </xdr:from>
    <xdr:to>
      <xdr:col>2</xdr:col>
      <xdr:colOff>204787</xdr:colOff>
      <xdr:row>23</xdr:row>
      <xdr:rowOff>133349</xdr:rowOff>
    </xdr:to>
    <xdr:graphicFrame macro="">
      <xdr:nvGraphicFramePr>
        <xdr:cNvPr id="65" name="Chart 64">
          <a:extLst>
            <a:ext uri="{FF2B5EF4-FFF2-40B4-BE49-F238E27FC236}">
              <a16:creationId xmlns:a16="http://schemas.microsoft.com/office/drawing/2014/main" id="{BE554CFE-C29E-4BEF-8320-BDD12B8F4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647700</xdr:colOff>
      <xdr:row>19</xdr:row>
      <xdr:rowOff>9525</xdr:rowOff>
    </xdr:from>
    <xdr:ext cx="419282" cy="256737"/>
    <xdr:sp macro="" textlink="">
      <xdr:nvSpPr>
        <xdr:cNvPr id="66" name="TextBox 65">
          <a:extLst>
            <a:ext uri="{FF2B5EF4-FFF2-40B4-BE49-F238E27FC236}">
              <a16:creationId xmlns:a16="http://schemas.microsoft.com/office/drawing/2014/main" id="{1F9B3E73-DCF0-437A-9C6F-01F6834D691B}"/>
            </a:ext>
          </a:extLst>
        </xdr:cNvPr>
        <xdr:cNvSpPr txBox="1"/>
      </xdr:nvSpPr>
      <xdr:spPr>
        <a:xfrm>
          <a:off x="1333500" y="3448050"/>
          <a:ext cx="419282"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bg1"/>
              </a:solidFill>
            </a:rPr>
            <a:t>46%</a:t>
          </a:r>
        </a:p>
      </xdr:txBody>
    </xdr:sp>
    <xdr:clientData/>
  </xdr:oneCellAnchor>
  <xdr:oneCellAnchor>
    <xdr:from>
      <xdr:col>1</xdr:col>
      <xdr:colOff>676275</xdr:colOff>
      <xdr:row>21</xdr:row>
      <xdr:rowOff>66675</xdr:rowOff>
    </xdr:from>
    <xdr:ext cx="419282" cy="256737"/>
    <xdr:sp macro="" textlink="">
      <xdr:nvSpPr>
        <xdr:cNvPr id="67" name="TextBox 66">
          <a:extLst>
            <a:ext uri="{FF2B5EF4-FFF2-40B4-BE49-F238E27FC236}">
              <a16:creationId xmlns:a16="http://schemas.microsoft.com/office/drawing/2014/main" id="{F61A0190-838C-4280-B69A-E5D3BA47B74B}"/>
            </a:ext>
          </a:extLst>
        </xdr:cNvPr>
        <xdr:cNvSpPr txBox="1"/>
      </xdr:nvSpPr>
      <xdr:spPr>
        <a:xfrm>
          <a:off x="1362075" y="3867150"/>
          <a:ext cx="419282"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bg1"/>
              </a:solidFill>
            </a:rPr>
            <a:t>38%</a:t>
          </a:r>
        </a:p>
      </xdr:txBody>
    </xdr:sp>
    <xdr:clientData/>
  </xdr:oneCellAnchor>
  <xdr:oneCellAnchor>
    <xdr:from>
      <xdr:col>2</xdr:col>
      <xdr:colOff>0</xdr:colOff>
      <xdr:row>16</xdr:row>
      <xdr:rowOff>142875</xdr:rowOff>
    </xdr:from>
    <xdr:ext cx="419282" cy="256737"/>
    <xdr:sp macro="" textlink="">
      <xdr:nvSpPr>
        <xdr:cNvPr id="68" name="TextBox 67">
          <a:extLst>
            <a:ext uri="{FF2B5EF4-FFF2-40B4-BE49-F238E27FC236}">
              <a16:creationId xmlns:a16="http://schemas.microsoft.com/office/drawing/2014/main" id="{B5363C39-CBFF-454E-8A54-DBE3D009AC86}"/>
            </a:ext>
          </a:extLst>
        </xdr:cNvPr>
        <xdr:cNvSpPr txBox="1"/>
      </xdr:nvSpPr>
      <xdr:spPr>
        <a:xfrm>
          <a:off x="1371600" y="3038475"/>
          <a:ext cx="419282"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bg1"/>
              </a:solidFill>
            </a:rPr>
            <a:t>16%</a:t>
          </a:r>
        </a:p>
      </xdr:txBody>
    </xdr:sp>
    <xdr:clientData/>
  </xdr:oneCellAnchor>
  <xdr:oneCellAnchor>
    <xdr:from>
      <xdr:col>0</xdr:col>
      <xdr:colOff>200024</xdr:colOff>
      <xdr:row>15</xdr:row>
      <xdr:rowOff>161925</xdr:rowOff>
    </xdr:from>
    <xdr:ext cx="889924" cy="264560"/>
    <xdr:sp macro="" textlink="">
      <xdr:nvSpPr>
        <xdr:cNvPr id="69" name="TextBox 68">
          <a:extLst>
            <a:ext uri="{FF2B5EF4-FFF2-40B4-BE49-F238E27FC236}">
              <a16:creationId xmlns:a16="http://schemas.microsoft.com/office/drawing/2014/main" id="{2F6DB5E1-B18B-4CA5-A7DA-92FB890DAE28}"/>
            </a:ext>
          </a:extLst>
        </xdr:cNvPr>
        <xdr:cNvSpPr txBox="1"/>
      </xdr:nvSpPr>
      <xdr:spPr>
        <a:xfrm>
          <a:off x="200024" y="2876550"/>
          <a:ext cx="8899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lt1"/>
              </a:solidFill>
              <a:latin typeface="+mn-lt"/>
              <a:ea typeface="+mn-ea"/>
              <a:cs typeface="+mn-cs"/>
            </a:rPr>
            <a:t> Head</a:t>
          </a:r>
          <a:r>
            <a:rPr lang="en-IN" sz="1100" baseline="0">
              <a:solidFill>
                <a:schemeClr val="lt1"/>
              </a:solidFill>
              <a:latin typeface="+mn-lt"/>
              <a:ea typeface="+mn-ea"/>
              <a:cs typeface="+mn-cs"/>
            </a:rPr>
            <a:t> Office</a:t>
          </a:r>
          <a:endParaRPr lang="en-IN" sz="1100">
            <a:solidFill>
              <a:schemeClr val="lt1"/>
            </a:solidFill>
            <a:latin typeface="+mn-lt"/>
            <a:ea typeface="+mn-ea"/>
            <a:cs typeface="+mn-cs"/>
          </a:endParaRPr>
        </a:p>
      </xdr:txBody>
    </xdr:sp>
    <xdr:clientData/>
  </xdr:oneCellAnchor>
  <xdr:oneCellAnchor>
    <xdr:from>
      <xdr:col>0</xdr:col>
      <xdr:colOff>180974</xdr:colOff>
      <xdr:row>18</xdr:row>
      <xdr:rowOff>28575</xdr:rowOff>
    </xdr:from>
    <xdr:ext cx="991490" cy="264560"/>
    <xdr:sp macro="" textlink="">
      <xdr:nvSpPr>
        <xdr:cNvPr id="71" name="TextBox 70">
          <a:extLst>
            <a:ext uri="{FF2B5EF4-FFF2-40B4-BE49-F238E27FC236}">
              <a16:creationId xmlns:a16="http://schemas.microsoft.com/office/drawing/2014/main" id="{F6FC295A-458F-4409-9927-2CB27860F2CF}"/>
            </a:ext>
          </a:extLst>
        </xdr:cNvPr>
        <xdr:cNvSpPr txBox="1"/>
      </xdr:nvSpPr>
      <xdr:spPr>
        <a:xfrm>
          <a:off x="180974" y="3286125"/>
          <a:ext cx="99149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lt1"/>
              </a:solidFill>
              <a:latin typeface="+mn-lt"/>
              <a:ea typeface="+mn-ea"/>
              <a:cs typeface="+mn-cs"/>
            </a:rPr>
            <a:t> Branch</a:t>
          </a:r>
          <a:r>
            <a:rPr lang="en-IN" sz="1100" baseline="0">
              <a:solidFill>
                <a:schemeClr val="lt1"/>
              </a:solidFill>
              <a:latin typeface="+mn-lt"/>
              <a:ea typeface="+mn-ea"/>
              <a:cs typeface="+mn-cs"/>
            </a:rPr>
            <a:t> Office</a:t>
          </a:r>
          <a:endParaRPr lang="en-IN" sz="1100">
            <a:solidFill>
              <a:schemeClr val="lt1"/>
            </a:solidFill>
            <a:latin typeface="+mn-lt"/>
            <a:ea typeface="+mn-ea"/>
            <a:cs typeface="+mn-cs"/>
          </a:endParaRPr>
        </a:p>
      </xdr:txBody>
    </xdr:sp>
    <xdr:clientData/>
  </xdr:oneCellAnchor>
  <xdr:oneCellAnchor>
    <xdr:from>
      <xdr:col>0</xdr:col>
      <xdr:colOff>152399</xdr:colOff>
      <xdr:row>20</xdr:row>
      <xdr:rowOff>85725</xdr:rowOff>
    </xdr:from>
    <xdr:ext cx="667875" cy="264560"/>
    <xdr:sp macro="" textlink="">
      <xdr:nvSpPr>
        <xdr:cNvPr id="72" name="TextBox 71">
          <a:extLst>
            <a:ext uri="{FF2B5EF4-FFF2-40B4-BE49-F238E27FC236}">
              <a16:creationId xmlns:a16="http://schemas.microsoft.com/office/drawing/2014/main" id="{B61C3F57-D66B-4A36-9224-E8BD0D12E3D5}"/>
            </a:ext>
          </a:extLst>
        </xdr:cNvPr>
        <xdr:cNvSpPr txBox="1"/>
      </xdr:nvSpPr>
      <xdr:spPr>
        <a:xfrm>
          <a:off x="152399" y="3705225"/>
          <a:ext cx="6678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lt1"/>
              </a:solidFill>
              <a:latin typeface="+mn-lt"/>
              <a:ea typeface="+mn-ea"/>
              <a:cs typeface="+mn-cs"/>
            </a:rPr>
            <a:t> Remote</a:t>
          </a:r>
        </a:p>
      </xdr:txBody>
    </xdr:sp>
    <xdr:clientData/>
  </xdr:oneCellAnchor>
  <xdr:oneCellAnchor>
    <xdr:from>
      <xdr:col>0</xdr:col>
      <xdr:colOff>209550</xdr:colOff>
      <xdr:row>13</xdr:row>
      <xdr:rowOff>85725</xdr:rowOff>
    </xdr:from>
    <xdr:ext cx="1269899" cy="311496"/>
    <xdr:sp macro="" textlink="">
      <xdr:nvSpPr>
        <xdr:cNvPr id="73" name="TextBox 72">
          <a:extLst>
            <a:ext uri="{FF2B5EF4-FFF2-40B4-BE49-F238E27FC236}">
              <a16:creationId xmlns:a16="http://schemas.microsoft.com/office/drawing/2014/main" id="{29188AE0-9238-4EE4-B8A2-8D97AEAEBFB1}"/>
            </a:ext>
          </a:extLst>
        </xdr:cNvPr>
        <xdr:cNvSpPr txBox="1"/>
      </xdr:nvSpPr>
      <xdr:spPr>
        <a:xfrm>
          <a:off x="209550" y="2438400"/>
          <a:ext cx="126989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rgbClr val="FF9900"/>
              </a:solidFill>
            </a:rPr>
            <a:t>Work</a:t>
          </a:r>
          <a:r>
            <a:rPr lang="en-IN" sz="1400" b="1" baseline="0">
              <a:solidFill>
                <a:srgbClr val="FF9900"/>
              </a:solidFill>
            </a:rPr>
            <a:t> Location</a:t>
          </a:r>
          <a:endParaRPr lang="en-IN" sz="1400" b="1">
            <a:solidFill>
              <a:srgbClr val="FF9900"/>
            </a:solidFill>
          </a:endParaRPr>
        </a:p>
      </xdr:txBody>
    </xdr:sp>
    <xdr:clientData/>
  </xdr:oneCellAnchor>
  <xdr:oneCellAnchor>
    <xdr:from>
      <xdr:col>0</xdr:col>
      <xdr:colOff>190500</xdr:colOff>
      <xdr:row>14</xdr:row>
      <xdr:rowOff>66675</xdr:rowOff>
    </xdr:from>
    <xdr:ext cx="1458348" cy="248851"/>
    <xdr:sp macro="" textlink="">
      <xdr:nvSpPr>
        <xdr:cNvPr id="74" name="TextBox 73">
          <a:extLst>
            <a:ext uri="{FF2B5EF4-FFF2-40B4-BE49-F238E27FC236}">
              <a16:creationId xmlns:a16="http://schemas.microsoft.com/office/drawing/2014/main" id="{BCD7D72F-5961-47AF-B2D8-4582924E2605}"/>
            </a:ext>
          </a:extLst>
        </xdr:cNvPr>
        <xdr:cNvSpPr txBox="1"/>
      </xdr:nvSpPr>
      <xdr:spPr>
        <a:xfrm>
          <a:off x="190500" y="2600325"/>
          <a:ext cx="145834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2">
                  <a:lumMod val="75000"/>
                </a:schemeClr>
              </a:solidFill>
            </a:rPr>
            <a:t>Employess</a:t>
          </a:r>
          <a:r>
            <a:rPr lang="en-IN" sz="1000" baseline="0">
              <a:solidFill>
                <a:schemeClr val="bg2">
                  <a:lumMod val="75000"/>
                </a:schemeClr>
              </a:solidFill>
            </a:rPr>
            <a:t> by workplace</a:t>
          </a:r>
          <a:endParaRPr lang="en-IN" sz="1000">
            <a:solidFill>
              <a:schemeClr val="bg2">
                <a:lumMod val="75000"/>
              </a:schemeClr>
            </a:solidFill>
          </a:endParaRPr>
        </a:p>
      </xdr:txBody>
    </xdr:sp>
    <xdr:clientData/>
  </xdr:oneCellAnchor>
  <xdr:oneCellAnchor>
    <xdr:from>
      <xdr:col>7</xdr:col>
      <xdr:colOff>590550</xdr:colOff>
      <xdr:row>12</xdr:row>
      <xdr:rowOff>95250</xdr:rowOff>
    </xdr:from>
    <xdr:ext cx="1924050" cy="248851"/>
    <xdr:sp macro="" textlink="">
      <xdr:nvSpPr>
        <xdr:cNvPr id="75" name="TextBox 74">
          <a:extLst>
            <a:ext uri="{FF2B5EF4-FFF2-40B4-BE49-F238E27FC236}">
              <a16:creationId xmlns:a16="http://schemas.microsoft.com/office/drawing/2014/main" id="{D3CE2033-95E0-44F3-BE96-8918123FFB3C}"/>
            </a:ext>
          </a:extLst>
        </xdr:cNvPr>
        <xdr:cNvSpPr txBox="1"/>
      </xdr:nvSpPr>
      <xdr:spPr>
        <a:xfrm>
          <a:off x="5391150" y="2266950"/>
          <a:ext cx="192405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00" b="1">
              <a:solidFill>
                <a:srgbClr val="FF9900"/>
              </a:solidFill>
            </a:rPr>
            <a:t>Employement</a:t>
          </a:r>
          <a:r>
            <a:rPr lang="en-IN" sz="1000" b="1" baseline="0">
              <a:solidFill>
                <a:srgbClr val="FF9900"/>
              </a:solidFill>
            </a:rPr>
            <a:t> Status Breakdown</a:t>
          </a:r>
          <a:endParaRPr lang="en-IN" sz="1000" b="1">
            <a:solidFill>
              <a:srgbClr val="FF9900"/>
            </a:solidFill>
          </a:endParaRPr>
        </a:p>
      </xdr:txBody>
    </xdr:sp>
    <xdr:clientData/>
  </xdr:oneCellAnchor>
  <xdr:twoCellAnchor>
    <xdr:from>
      <xdr:col>0</xdr:col>
      <xdr:colOff>219074</xdr:colOff>
      <xdr:row>6</xdr:row>
      <xdr:rowOff>38100</xdr:rowOff>
    </xdr:from>
    <xdr:to>
      <xdr:col>1</xdr:col>
      <xdr:colOff>546180</xdr:colOff>
      <xdr:row>7</xdr:row>
      <xdr:rowOff>105976</xdr:rowOff>
    </xdr:to>
    <xdr:sp macro="" textlink="">
      <xdr:nvSpPr>
        <xdr:cNvPr id="76" name="TextBox 75">
          <a:extLst>
            <a:ext uri="{FF2B5EF4-FFF2-40B4-BE49-F238E27FC236}">
              <a16:creationId xmlns:a16="http://schemas.microsoft.com/office/drawing/2014/main" id="{015429FA-1B7B-4DEA-9070-D1517070E4D5}"/>
            </a:ext>
          </a:extLst>
        </xdr:cNvPr>
        <xdr:cNvSpPr txBox="1"/>
      </xdr:nvSpPr>
      <xdr:spPr>
        <a:xfrm>
          <a:off x="219074" y="1123950"/>
          <a:ext cx="101290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a:solidFill>
                <a:schemeClr val="bg1"/>
              </a:solidFill>
            </a:rPr>
            <a:t>Communication</a:t>
          </a:r>
        </a:p>
      </xdr:txBody>
    </xdr:sp>
    <xdr:clientData/>
  </xdr:twoCellAnchor>
  <xdr:twoCellAnchor>
    <xdr:from>
      <xdr:col>0</xdr:col>
      <xdr:colOff>219074</xdr:colOff>
      <xdr:row>7</xdr:row>
      <xdr:rowOff>104775</xdr:rowOff>
    </xdr:from>
    <xdr:to>
      <xdr:col>1</xdr:col>
      <xdr:colOff>96890</xdr:colOff>
      <xdr:row>8</xdr:row>
      <xdr:rowOff>172651</xdr:rowOff>
    </xdr:to>
    <xdr:sp macro="" textlink="">
      <xdr:nvSpPr>
        <xdr:cNvPr id="77" name="TextBox 76">
          <a:extLst>
            <a:ext uri="{FF2B5EF4-FFF2-40B4-BE49-F238E27FC236}">
              <a16:creationId xmlns:a16="http://schemas.microsoft.com/office/drawing/2014/main" id="{0CB2F133-0744-43CA-BF40-6ADBC868F824}"/>
            </a:ext>
          </a:extLst>
        </xdr:cNvPr>
        <xdr:cNvSpPr txBox="1"/>
      </xdr:nvSpPr>
      <xdr:spPr>
        <a:xfrm>
          <a:off x="219074" y="1371600"/>
          <a:ext cx="56361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a:solidFill>
                <a:schemeClr val="lt1"/>
              </a:solidFill>
              <a:latin typeface="+mn-lt"/>
              <a:ea typeface="+mn-ea"/>
              <a:cs typeface="+mn-cs"/>
            </a:rPr>
            <a:t> Design</a:t>
          </a:r>
        </a:p>
      </xdr:txBody>
    </xdr:sp>
    <xdr:clientData/>
  </xdr:twoCellAnchor>
  <xdr:twoCellAnchor>
    <xdr:from>
      <xdr:col>0</xdr:col>
      <xdr:colOff>219074</xdr:colOff>
      <xdr:row>8</xdr:row>
      <xdr:rowOff>171450</xdr:rowOff>
    </xdr:from>
    <xdr:to>
      <xdr:col>1</xdr:col>
      <xdr:colOff>12572</xdr:colOff>
      <xdr:row>10</xdr:row>
      <xdr:rowOff>58351</xdr:rowOff>
    </xdr:to>
    <xdr:sp macro="" textlink="">
      <xdr:nvSpPr>
        <xdr:cNvPr id="78" name="TextBox 77">
          <a:extLst>
            <a:ext uri="{FF2B5EF4-FFF2-40B4-BE49-F238E27FC236}">
              <a16:creationId xmlns:a16="http://schemas.microsoft.com/office/drawing/2014/main" id="{FE58CDBB-567E-439D-BCDD-6953C58D1849}"/>
            </a:ext>
          </a:extLst>
        </xdr:cNvPr>
        <xdr:cNvSpPr txBox="1"/>
      </xdr:nvSpPr>
      <xdr:spPr>
        <a:xfrm>
          <a:off x="219074" y="1619250"/>
          <a:ext cx="47929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a:solidFill>
                <a:schemeClr val="lt1"/>
              </a:solidFill>
              <a:latin typeface="+mn-lt"/>
              <a:ea typeface="+mn-ea"/>
              <a:cs typeface="+mn-cs"/>
            </a:rPr>
            <a:t> Excel</a:t>
          </a:r>
        </a:p>
      </xdr:txBody>
    </xdr:sp>
    <xdr:clientData/>
  </xdr:twoCellAnchor>
  <xdr:twoCellAnchor>
    <xdr:from>
      <xdr:col>0</xdr:col>
      <xdr:colOff>219074</xdr:colOff>
      <xdr:row>10</xdr:row>
      <xdr:rowOff>57150</xdr:rowOff>
    </xdr:from>
    <xdr:to>
      <xdr:col>1</xdr:col>
      <xdr:colOff>447563</xdr:colOff>
      <xdr:row>11</xdr:row>
      <xdr:rowOff>125026</xdr:rowOff>
    </xdr:to>
    <xdr:sp macro="" textlink="">
      <xdr:nvSpPr>
        <xdr:cNvPr id="79" name="TextBox 78">
          <a:extLst>
            <a:ext uri="{FF2B5EF4-FFF2-40B4-BE49-F238E27FC236}">
              <a16:creationId xmlns:a16="http://schemas.microsoft.com/office/drawing/2014/main" id="{2C9E789D-6E99-45B5-A837-DB9398926E45}"/>
            </a:ext>
          </a:extLst>
        </xdr:cNvPr>
        <xdr:cNvSpPr txBox="1"/>
      </xdr:nvSpPr>
      <xdr:spPr>
        <a:xfrm>
          <a:off x="219074" y="1866900"/>
          <a:ext cx="91428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a:solidFill>
                <a:schemeClr val="lt1"/>
              </a:solidFill>
              <a:latin typeface="+mn-lt"/>
              <a:ea typeface="+mn-ea"/>
              <a:cs typeface="+mn-cs"/>
            </a:rPr>
            <a:t> Management</a:t>
          </a:r>
        </a:p>
      </xdr:txBody>
    </xdr:sp>
    <xdr:clientData/>
  </xdr:twoCellAnchor>
  <xdr:twoCellAnchor>
    <xdr:from>
      <xdr:col>0</xdr:col>
      <xdr:colOff>219074</xdr:colOff>
      <xdr:row>11</xdr:row>
      <xdr:rowOff>114300</xdr:rowOff>
    </xdr:from>
    <xdr:to>
      <xdr:col>1</xdr:col>
      <xdr:colOff>116575</xdr:colOff>
      <xdr:row>13</xdr:row>
      <xdr:rowOff>1201</xdr:rowOff>
    </xdr:to>
    <xdr:sp macro="" textlink="">
      <xdr:nvSpPr>
        <xdr:cNvPr id="80" name="TextBox 79">
          <a:extLst>
            <a:ext uri="{FF2B5EF4-FFF2-40B4-BE49-F238E27FC236}">
              <a16:creationId xmlns:a16="http://schemas.microsoft.com/office/drawing/2014/main" id="{B94E0CE1-C7F9-4F9A-B3F6-76DF5535BEDD}"/>
            </a:ext>
          </a:extLst>
        </xdr:cNvPr>
        <xdr:cNvSpPr txBox="1"/>
      </xdr:nvSpPr>
      <xdr:spPr>
        <a:xfrm>
          <a:off x="219074" y="2105025"/>
          <a:ext cx="58330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a:solidFill>
                <a:schemeClr val="lt1"/>
              </a:solidFill>
              <a:latin typeface="+mn-lt"/>
              <a:ea typeface="+mn-ea"/>
              <a:cs typeface="+mn-cs"/>
            </a:rPr>
            <a:t> Python</a:t>
          </a:r>
        </a:p>
      </xdr:txBody>
    </xdr:sp>
    <xdr:clientData/>
  </xdr:twoCellAnchor>
  <xdr:twoCellAnchor>
    <xdr:from>
      <xdr:col>1</xdr:col>
      <xdr:colOff>630263</xdr:colOff>
      <xdr:row>6</xdr:row>
      <xdr:rowOff>28575</xdr:rowOff>
    </xdr:from>
    <xdr:to>
      <xdr:col>2</xdr:col>
      <xdr:colOff>457199</xdr:colOff>
      <xdr:row>7</xdr:row>
      <xdr:rowOff>96451</xdr:rowOff>
    </xdr:to>
    <xdr:sp macro="" textlink="Pivot!$T$4">
      <xdr:nvSpPr>
        <xdr:cNvPr id="82" name="TextBox 81">
          <a:extLst>
            <a:ext uri="{FF2B5EF4-FFF2-40B4-BE49-F238E27FC236}">
              <a16:creationId xmlns:a16="http://schemas.microsoft.com/office/drawing/2014/main" id="{A7E838BB-0630-4508-81F1-3B4EA3DA0C5E}"/>
            </a:ext>
          </a:extLst>
        </xdr:cNvPr>
        <xdr:cNvSpPr txBox="1"/>
      </xdr:nvSpPr>
      <xdr:spPr>
        <a:xfrm>
          <a:off x="1316063" y="1114425"/>
          <a:ext cx="51273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F393A5B-FCCC-494C-985D-80228CC3F71D}" type="TxLink">
            <a:rPr lang="en-US" sz="1100" b="1" i="0" u="none" strike="noStrike">
              <a:solidFill>
                <a:srgbClr val="FF9900"/>
              </a:solidFill>
              <a:latin typeface="Aptos Narrow"/>
            </a:rPr>
            <a:pPr/>
            <a:t>12</a:t>
          </a:fld>
          <a:endParaRPr lang="en-IN" sz="1000" b="1">
            <a:solidFill>
              <a:srgbClr val="FF9900"/>
            </a:solidFill>
          </a:endParaRPr>
        </a:p>
      </xdr:txBody>
    </xdr:sp>
    <xdr:clientData/>
  </xdr:twoCellAnchor>
  <xdr:twoCellAnchor>
    <xdr:from>
      <xdr:col>1</xdr:col>
      <xdr:colOff>630263</xdr:colOff>
      <xdr:row>7</xdr:row>
      <xdr:rowOff>133350</xdr:rowOff>
    </xdr:from>
    <xdr:to>
      <xdr:col>2</xdr:col>
      <xdr:colOff>466724</xdr:colOff>
      <xdr:row>9</xdr:row>
      <xdr:rowOff>20251</xdr:rowOff>
    </xdr:to>
    <xdr:sp macro="" textlink="Pivot!$T$5">
      <xdr:nvSpPr>
        <xdr:cNvPr id="83" name="TextBox 82">
          <a:extLst>
            <a:ext uri="{FF2B5EF4-FFF2-40B4-BE49-F238E27FC236}">
              <a16:creationId xmlns:a16="http://schemas.microsoft.com/office/drawing/2014/main" id="{8B9D71A9-3CED-4AEB-A2BE-862BF09E73DA}"/>
            </a:ext>
          </a:extLst>
        </xdr:cNvPr>
        <xdr:cNvSpPr txBox="1"/>
      </xdr:nvSpPr>
      <xdr:spPr>
        <a:xfrm>
          <a:off x="1316063" y="1400175"/>
          <a:ext cx="52226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0797C73E-ECFE-4FE6-BA6D-19409E13AF09}" type="TxLink">
            <a:rPr lang="en-US" sz="1100" b="1" i="0" u="none" strike="noStrike">
              <a:solidFill>
                <a:srgbClr val="FF9900"/>
              </a:solidFill>
              <a:latin typeface="Aptos Narrow"/>
              <a:ea typeface="+mn-ea"/>
              <a:cs typeface="+mn-cs"/>
            </a:rPr>
            <a:pPr/>
            <a:t>11</a:t>
          </a:fld>
          <a:endParaRPr lang="en-IN" sz="1000" b="1">
            <a:solidFill>
              <a:srgbClr val="FF9900"/>
            </a:solidFill>
            <a:latin typeface="+mn-lt"/>
            <a:ea typeface="+mn-ea"/>
            <a:cs typeface="+mn-cs"/>
          </a:endParaRPr>
        </a:p>
      </xdr:txBody>
    </xdr:sp>
    <xdr:clientData/>
  </xdr:twoCellAnchor>
  <xdr:twoCellAnchor>
    <xdr:from>
      <xdr:col>2</xdr:col>
      <xdr:colOff>11138</xdr:colOff>
      <xdr:row>8</xdr:row>
      <xdr:rowOff>171450</xdr:rowOff>
    </xdr:from>
    <xdr:to>
      <xdr:col>2</xdr:col>
      <xdr:colOff>449081</xdr:colOff>
      <xdr:row>10</xdr:row>
      <xdr:rowOff>58351</xdr:rowOff>
    </xdr:to>
    <xdr:sp macro="" textlink="Pivot!$T$6">
      <xdr:nvSpPr>
        <xdr:cNvPr id="84" name="TextBox 83">
          <a:extLst>
            <a:ext uri="{FF2B5EF4-FFF2-40B4-BE49-F238E27FC236}">
              <a16:creationId xmlns:a16="http://schemas.microsoft.com/office/drawing/2014/main" id="{9E15EFE5-B68B-4969-95A8-AA2F62DCFD95}"/>
            </a:ext>
          </a:extLst>
        </xdr:cNvPr>
        <xdr:cNvSpPr txBox="1"/>
      </xdr:nvSpPr>
      <xdr:spPr>
        <a:xfrm>
          <a:off x="1382738" y="1619250"/>
          <a:ext cx="43794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4D5C6BB-D202-4C64-91FF-DA323A1DD6F6}" type="TxLink">
            <a:rPr lang="en-US" sz="1100" b="1" i="0" u="none" strike="noStrike">
              <a:solidFill>
                <a:srgbClr val="FF9900"/>
              </a:solidFill>
              <a:latin typeface="Aptos Narrow"/>
              <a:ea typeface="+mn-ea"/>
              <a:cs typeface="+mn-cs"/>
            </a:rPr>
            <a:pPr/>
            <a:t>7</a:t>
          </a:fld>
          <a:endParaRPr lang="en-IN" sz="1000" b="1">
            <a:solidFill>
              <a:srgbClr val="FF9900"/>
            </a:solidFill>
            <a:latin typeface="+mn-lt"/>
            <a:ea typeface="+mn-ea"/>
            <a:cs typeface="+mn-cs"/>
          </a:endParaRPr>
        </a:p>
      </xdr:txBody>
    </xdr:sp>
    <xdr:clientData/>
  </xdr:twoCellAnchor>
  <xdr:twoCellAnchor>
    <xdr:from>
      <xdr:col>1</xdr:col>
      <xdr:colOff>630263</xdr:colOff>
      <xdr:row>10</xdr:row>
      <xdr:rowOff>47625</xdr:rowOff>
    </xdr:from>
    <xdr:to>
      <xdr:col>2</xdr:col>
      <xdr:colOff>476249</xdr:colOff>
      <xdr:row>11</xdr:row>
      <xdr:rowOff>115501</xdr:rowOff>
    </xdr:to>
    <xdr:sp macro="" textlink="Pivot!$T$7">
      <xdr:nvSpPr>
        <xdr:cNvPr id="85" name="TextBox 84">
          <a:extLst>
            <a:ext uri="{FF2B5EF4-FFF2-40B4-BE49-F238E27FC236}">
              <a16:creationId xmlns:a16="http://schemas.microsoft.com/office/drawing/2014/main" id="{8B1E19B7-13ED-4787-9B8B-B57BAA5060C6}"/>
            </a:ext>
          </a:extLst>
        </xdr:cNvPr>
        <xdr:cNvSpPr txBox="1"/>
      </xdr:nvSpPr>
      <xdr:spPr>
        <a:xfrm>
          <a:off x="1316063" y="1857375"/>
          <a:ext cx="53178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8AF4C7B-C7A6-493C-830B-00C3AE92798D}" type="TxLink">
            <a:rPr lang="en-US" sz="1100" b="1" i="0" u="none" strike="noStrike">
              <a:solidFill>
                <a:srgbClr val="FF9900"/>
              </a:solidFill>
              <a:latin typeface="Aptos Narrow"/>
              <a:ea typeface="+mn-ea"/>
              <a:cs typeface="+mn-cs"/>
            </a:rPr>
            <a:pPr/>
            <a:t>11</a:t>
          </a:fld>
          <a:endParaRPr lang="en-IN" sz="1000" b="1">
            <a:solidFill>
              <a:srgbClr val="FF9900"/>
            </a:solidFill>
            <a:latin typeface="+mn-lt"/>
            <a:ea typeface="+mn-ea"/>
            <a:cs typeface="+mn-cs"/>
          </a:endParaRPr>
        </a:p>
      </xdr:txBody>
    </xdr:sp>
    <xdr:clientData/>
  </xdr:twoCellAnchor>
  <xdr:twoCellAnchor>
    <xdr:from>
      <xdr:col>2</xdr:col>
      <xdr:colOff>20663</xdr:colOff>
      <xdr:row>11</xdr:row>
      <xdr:rowOff>76200</xdr:rowOff>
    </xdr:from>
    <xdr:to>
      <xdr:col>2</xdr:col>
      <xdr:colOff>533399</xdr:colOff>
      <xdr:row>12</xdr:row>
      <xdr:rowOff>144076</xdr:rowOff>
    </xdr:to>
    <xdr:sp macro="" textlink="Pivot!$T$8">
      <xdr:nvSpPr>
        <xdr:cNvPr id="87" name="TextBox 86">
          <a:extLst>
            <a:ext uri="{FF2B5EF4-FFF2-40B4-BE49-F238E27FC236}">
              <a16:creationId xmlns:a16="http://schemas.microsoft.com/office/drawing/2014/main" id="{8028F26C-D3A1-4B14-A5D6-B9B245FAB9CF}"/>
            </a:ext>
          </a:extLst>
        </xdr:cNvPr>
        <xdr:cNvSpPr txBox="1"/>
      </xdr:nvSpPr>
      <xdr:spPr>
        <a:xfrm>
          <a:off x="1392263" y="2066925"/>
          <a:ext cx="51273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D87C5B69-13B8-4DC7-A23C-69CE139132AE}" type="TxLink">
            <a:rPr lang="en-US" sz="1100" b="1" i="0" u="none" strike="noStrike">
              <a:solidFill>
                <a:srgbClr val="FF9900"/>
              </a:solidFill>
              <a:latin typeface="Aptos Narrow"/>
              <a:ea typeface="+mn-ea"/>
              <a:cs typeface="+mn-cs"/>
            </a:rPr>
            <a:pPr/>
            <a:t>9</a:t>
          </a:fld>
          <a:endParaRPr lang="en-IN" sz="1000" b="1">
            <a:solidFill>
              <a:srgbClr val="FF9900"/>
            </a:solidFill>
            <a:latin typeface="+mn-lt"/>
            <a:ea typeface="+mn-ea"/>
            <a:cs typeface="+mn-cs"/>
          </a:endParaRPr>
        </a:p>
      </xdr:txBody>
    </xdr:sp>
    <xdr:clientData/>
  </xdr:twoCellAnchor>
  <xdr:oneCellAnchor>
    <xdr:from>
      <xdr:col>0</xdr:col>
      <xdr:colOff>228600</xdr:colOff>
      <xdr:row>4</xdr:row>
      <xdr:rowOff>85725</xdr:rowOff>
    </xdr:from>
    <xdr:ext cx="1452898" cy="311496"/>
    <xdr:sp macro="" textlink="">
      <xdr:nvSpPr>
        <xdr:cNvPr id="88" name="TextBox 87">
          <a:extLst>
            <a:ext uri="{FF2B5EF4-FFF2-40B4-BE49-F238E27FC236}">
              <a16:creationId xmlns:a16="http://schemas.microsoft.com/office/drawing/2014/main" id="{3689B5EE-13B0-46B6-A828-FFF4D7D8757D}"/>
            </a:ext>
          </a:extLst>
        </xdr:cNvPr>
        <xdr:cNvSpPr txBox="1"/>
      </xdr:nvSpPr>
      <xdr:spPr>
        <a:xfrm>
          <a:off x="228600" y="809625"/>
          <a:ext cx="145289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rgbClr val="FF9900"/>
              </a:solidFill>
            </a:rPr>
            <a:t>Skills</a:t>
          </a:r>
          <a:r>
            <a:rPr lang="en-IN" sz="1400" b="1" baseline="0">
              <a:solidFill>
                <a:srgbClr val="FF9900"/>
              </a:solidFill>
            </a:rPr>
            <a:t> Breakdown</a:t>
          </a:r>
          <a:endParaRPr lang="en-IN" sz="1400" b="1">
            <a:solidFill>
              <a:srgbClr val="FF9900"/>
            </a:solidFill>
          </a:endParaRPr>
        </a:p>
      </xdr:txBody>
    </xdr:sp>
    <xdr:clientData/>
  </xdr:oneCellAnchor>
  <xdr:oneCellAnchor>
    <xdr:from>
      <xdr:col>2</xdr:col>
      <xdr:colOff>476250</xdr:colOff>
      <xdr:row>3</xdr:row>
      <xdr:rowOff>57150</xdr:rowOff>
    </xdr:from>
    <xdr:ext cx="808683" cy="843757"/>
    <xdr:sp macro="" textlink="Pivot!J15">
      <xdr:nvSpPr>
        <xdr:cNvPr id="89" name="TextBox 88">
          <a:extLst>
            <a:ext uri="{FF2B5EF4-FFF2-40B4-BE49-F238E27FC236}">
              <a16:creationId xmlns:a16="http://schemas.microsoft.com/office/drawing/2014/main" id="{77754678-1427-434C-9E3A-77FB35FA7FFE}"/>
            </a:ext>
          </a:extLst>
        </xdr:cNvPr>
        <xdr:cNvSpPr txBox="1"/>
      </xdr:nvSpPr>
      <xdr:spPr>
        <a:xfrm>
          <a:off x="1847850" y="600075"/>
          <a:ext cx="808683" cy="843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59109AE-1985-4F78-8F93-1A86526A6A02}" type="TxLink">
            <a:rPr lang="en-US" sz="4800" b="1" i="0" u="none" strike="noStrike">
              <a:solidFill>
                <a:schemeClr val="bg1"/>
              </a:solidFill>
              <a:latin typeface="Aptos Narrow"/>
            </a:rPr>
            <a:pPr/>
            <a:t>50</a:t>
          </a:fld>
          <a:endParaRPr lang="en-IN" sz="6000" b="1">
            <a:solidFill>
              <a:schemeClr val="bg1"/>
            </a:solidFill>
          </a:endParaRPr>
        </a:p>
      </xdr:txBody>
    </xdr:sp>
    <xdr:clientData/>
  </xdr:oneCellAnchor>
  <xdr:oneCellAnchor>
    <xdr:from>
      <xdr:col>2</xdr:col>
      <xdr:colOff>504825</xdr:colOff>
      <xdr:row>6</xdr:row>
      <xdr:rowOff>161925</xdr:rowOff>
    </xdr:from>
    <xdr:ext cx="1180451" cy="280205"/>
    <xdr:sp macro="" textlink="">
      <xdr:nvSpPr>
        <xdr:cNvPr id="90" name="TextBox 89">
          <a:extLst>
            <a:ext uri="{FF2B5EF4-FFF2-40B4-BE49-F238E27FC236}">
              <a16:creationId xmlns:a16="http://schemas.microsoft.com/office/drawing/2014/main" id="{A4A7944D-309B-49E3-BC99-DC4D1881DF21}"/>
            </a:ext>
          </a:extLst>
        </xdr:cNvPr>
        <xdr:cNvSpPr txBox="1"/>
      </xdr:nvSpPr>
      <xdr:spPr>
        <a:xfrm>
          <a:off x="1876425" y="1247775"/>
          <a:ext cx="118045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rgbClr val="FF9900"/>
              </a:solidFill>
            </a:rPr>
            <a:t>Total</a:t>
          </a:r>
          <a:r>
            <a:rPr lang="en-IN" sz="1200" b="1" baseline="0">
              <a:solidFill>
                <a:srgbClr val="FF9900"/>
              </a:solidFill>
            </a:rPr>
            <a:t> </a:t>
          </a:r>
          <a:r>
            <a:rPr lang="en-IN" sz="1100" b="1" baseline="0">
              <a:solidFill>
                <a:srgbClr val="FF9900"/>
              </a:solidFill>
            </a:rPr>
            <a:t>Employees</a:t>
          </a:r>
          <a:endParaRPr lang="en-IN" sz="1200" b="1">
            <a:solidFill>
              <a:srgbClr val="FF9900"/>
            </a:solidFill>
          </a:endParaRPr>
        </a:p>
      </xdr:txBody>
    </xdr:sp>
    <xdr:clientData/>
  </xdr:oneCellAnchor>
  <xdr:twoCellAnchor editAs="oneCell">
    <xdr:from>
      <xdr:col>4</xdr:col>
      <xdr:colOff>57150</xdr:colOff>
      <xdr:row>3</xdr:row>
      <xdr:rowOff>142875</xdr:rowOff>
    </xdr:from>
    <xdr:to>
      <xdr:col>5</xdr:col>
      <xdr:colOff>104775</xdr:colOff>
      <xdr:row>7</xdr:row>
      <xdr:rowOff>152400</xdr:rowOff>
    </xdr:to>
    <xdr:pic>
      <xdr:nvPicPr>
        <xdr:cNvPr id="41" name="Graphic 40" descr="Users">
          <a:extLst>
            <a:ext uri="{FF2B5EF4-FFF2-40B4-BE49-F238E27FC236}">
              <a16:creationId xmlns:a16="http://schemas.microsoft.com/office/drawing/2014/main" id="{C3BEA3C4-4B5B-4872-A502-5C3B520DCF1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800350" y="685800"/>
          <a:ext cx="733425" cy="733425"/>
        </a:xfrm>
        <a:prstGeom prst="rect">
          <a:avLst/>
        </a:prstGeom>
      </xdr:spPr>
    </xdr:pic>
    <xdr:clientData/>
  </xdr:twoCellAnchor>
  <xdr:oneCellAnchor>
    <xdr:from>
      <xdr:col>2</xdr:col>
      <xdr:colOff>466725</xdr:colOff>
      <xdr:row>8</xdr:row>
      <xdr:rowOff>95250</xdr:rowOff>
    </xdr:from>
    <xdr:ext cx="510396" cy="280205"/>
    <xdr:sp macro="" textlink="">
      <xdr:nvSpPr>
        <xdr:cNvPr id="91" name="TextBox 90">
          <a:extLst>
            <a:ext uri="{FF2B5EF4-FFF2-40B4-BE49-F238E27FC236}">
              <a16:creationId xmlns:a16="http://schemas.microsoft.com/office/drawing/2014/main" id="{C9141559-01AB-48CE-9535-F97435C637AF}"/>
            </a:ext>
          </a:extLst>
        </xdr:cNvPr>
        <xdr:cNvSpPr txBox="1"/>
      </xdr:nvSpPr>
      <xdr:spPr>
        <a:xfrm>
          <a:off x="1838325" y="1543050"/>
          <a:ext cx="51039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9900"/>
              </a:solidFill>
            </a:rPr>
            <a:t>Male</a:t>
          </a:r>
        </a:p>
      </xdr:txBody>
    </xdr:sp>
    <xdr:clientData/>
  </xdr:oneCellAnchor>
  <xdr:oneCellAnchor>
    <xdr:from>
      <xdr:col>3</xdr:col>
      <xdr:colOff>666750</xdr:colOff>
      <xdr:row>8</xdr:row>
      <xdr:rowOff>104775</xdr:rowOff>
    </xdr:from>
    <xdr:ext cx="649152" cy="280205"/>
    <xdr:sp macro="" textlink="">
      <xdr:nvSpPr>
        <xdr:cNvPr id="92" name="TextBox 91">
          <a:extLst>
            <a:ext uri="{FF2B5EF4-FFF2-40B4-BE49-F238E27FC236}">
              <a16:creationId xmlns:a16="http://schemas.microsoft.com/office/drawing/2014/main" id="{46A2E45E-5D29-49AC-9D2D-458510CE68EE}"/>
            </a:ext>
          </a:extLst>
        </xdr:cNvPr>
        <xdr:cNvSpPr txBox="1"/>
      </xdr:nvSpPr>
      <xdr:spPr>
        <a:xfrm>
          <a:off x="2724150" y="1552575"/>
          <a:ext cx="64915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9900"/>
              </a:solidFill>
            </a:rPr>
            <a:t>Female</a:t>
          </a:r>
        </a:p>
      </xdr:txBody>
    </xdr:sp>
    <xdr:clientData/>
  </xdr:oneCellAnchor>
  <xdr:oneCellAnchor>
    <xdr:from>
      <xdr:col>2</xdr:col>
      <xdr:colOff>476250</xdr:colOff>
      <xdr:row>10</xdr:row>
      <xdr:rowOff>95250</xdr:rowOff>
    </xdr:from>
    <xdr:ext cx="716671" cy="468013"/>
    <xdr:sp macro="" textlink="Pivot!K14">
      <xdr:nvSpPr>
        <xdr:cNvPr id="93" name="TextBox 92">
          <a:extLst>
            <a:ext uri="{FF2B5EF4-FFF2-40B4-BE49-F238E27FC236}">
              <a16:creationId xmlns:a16="http://schemas.microsoft.com/office/drawing/2014/main" id="{7C1E902B-9E46-46A6-93CC-CA9B8293487A}"/>
            </a:ext>
          </a:extLst>
        </xdr:cNvPr>
        <xdr:cNvSpPr txBox="1"/>
      </xdr:nvSpPr>
      <xdr:spPr>
        <a:xfrm>
          <a:off x="1847850" y="1905000"/>
          <a:ext cx="71667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B107530-C094-4643-B73F-4F9BEA67BD3D}" type="TxLink">
            <a:rPr lang="en-US" sz="2400" b="0" i="0" u="none" strike="noStrike">
              <a:solidFill>
                <a:schemeClr val="bg1"/>
              </a:solidFill>
              <a:latin typeface="Aptos Narrow"/>
            </a:rPr>
            <a:pPr/>
            <a:t>48%</a:t>
          </a:fld>
          <a:endParaRPr lang="en-IN" sz="2800" b="1">
            <a:solidFill>
              <a:schemeClr val="bg1"/>
            </a:solidFill>
          </a:endParaRPr>
        </a:p>
      </xdr:txBody>
    </xdr:sp>
    <xdr:clientData/>
  </xdr:oneCellAnchor>
  <xdr:oneCellAnchor>
    <xdr:from>
      <xdr:col>4</xdr:col>
      <xdr:colOff>66675</xdr:colOff>
      <xdr:row>10</xdr:row>
      <xdr:rowOff>95250</xdr:rowOff>
    </xdr:from>
    <xdr:ext cx="716671" cy="468013"/>
    <xdr:sp macro="" textlink="Pivot!K13">
      <xdr:nvSpPr>
        <xdr:cNvPr id="94" name="TextBox 93">
          <a:extLst>
            <a:ext uri="{FF2B5EF4-FFF2-40B4-BE49-F238E27FC236}">
              <a16:creationId xmlns:a16="http://schemas.microsoft.com/office/drawing/2014/main" id="{2198C349-F928-409E-A459-7B625B4B6E4B}"/>
            </a:ext>
          </a:extLst>
        </xdr:cNvPr>
        <xdr:cNvSpPr txBox="1"/>
      </xdr:nvSpPr>
      <xdr:spPr>
        <a:xfrm>
          <a:off x="2809875" y="1905000"/>
          <a:ext cx="71667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1F2B571-E429-484E-97E4-1F80608ABF02}" type="TxLink">
            <a:rPr lang="en-US" sz="2400" b="0" i="0" u="none" strike="noStrike">
              <a:solidFill>
                <a:schemeClr val="bg1"/>
              </a:solidFill>
              <a:latin typeface="Aptos Narrow"/>
            </a:rPr>
            <a:pPr/>
            <a:t>52%</a:t>
          </a:fld>
          <a:endParaRPr lang="en-IN" sz="2800" b="1">
            <a:solidFill>
              <a:schemeClr val="bg1"/>
            </a:solidFill>
          </a:endParaRPr>
        </a:p>
      </xdr:txBody>
    </xdr:sp>
    <xdr:clientData/>
  </xdr:oneCellAnchor>
  <xdr:twoCellAnchor editAs="oneCell">
    <xdr:from>
      <xdr:col>3</xdr:col>
      <xdr:colOff>219076</xdr:colOff>
      <xdr:row>8</xdr:row>
      <xdr:rowOff>104774</xdr:rowOff>
    </xdr:from>
    <xdr:to>
      <xdr:col>3</xdr:col>
      <xdr:colOff>657225</xdr:colOff>
      <xdr:row>10</xdr:row>
      <xdr:rowOff>180973</xdr:rowOff>
    </xdr:to>
    <xdr:pic>
      <xdr:nvPicPr>
        <xdr:cNvPr id="44" name="Graphic 43" descr="Male profile">
          <a:extLst>
            <a:ext uri="{FF2B5EF4-FFF2-40B4-BE49-F238E27FC236}">
              <a16:creationId xmlns:a16="http://schemas.microsoft.com/office/drawing/2014/main" id="{AFB3A5CD-4C54-4897-A61F-F51F239AEF1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276476" y="1552574"/>
          <a:ext cx="438149" cy="438149"/>
        </a:xfrm>
        <a:prstGeom prst="rect">
          <a:avLst/>
        </a:prstGeom>
      </xdr:spPr>
    </xdr:pic>
    <xdr:clientData/>
  </xdr:twoCellAnchor>
  <xdr:twoCellAnchor editAs="oneCell">
    <xdr:from>
      <xdr:col>4</xdr:col>
      <xdr:colOff>485777</xdr:colOff>
      <xdr:row>8</xdr:row>
      <xdr:rowOff>123825</xdr:rowOff>
    </xdr:from>
    <xdr:to>
      <xdr:col>5</xdr:col>
      <xdr:colOff>200025</xdr:colOff>
      <xdr:row>10</xdr:row>
      <xdr:rowOff>161923</xdr:rowOff>
    </xdr:to>
    <xdr:pic>
      <xdr:nvPicPr>
        <xdr:cNvPr id="95" name="Graphic 94" descr="Female Profile">
          <a:extLst>
            <a:ext uri="{FF2B5EF4-FFF2-40B4-BE49-F238E27FC236}">
              <a16:creationId xmlns:a16="http://schemas.microsoft.com/office/drawing/2014/main" id="{20375692-F11D-4589-9AFD-60317193384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228977" y="1571625"/>
          <a:ext cx="400048" cy="400048"/>
        </a:xfrm>
        <a:prstGeom prst="rect">
          <a:avLst/>
        </a:prstGeom>
      </xdr:spPr>
    </xdr:pic>
    <xdr:clientData/>
  </xdr:twoCellAnchor>
  <xdr:twoCellAnchor>
    <xdr:from>
      <xdr:col>5</xdr:col>
      <xdr:colOff>247650</xdr:colOff>
      <xdr:row>5</xdr:row>
      <xdr:rowOff>104774</xdr:rowOff>
    </xdr:from>
    <xdr:to>
      <xdr:col>7</xdr:col>
      <xdr:colOff>590550</xdr:colOff>
      <xdr:row>13</xdr:row>
      <xdr:rowOff>28575</xdr:rowOff>
    </xdr:to>
    <xdr:graphicFrame macro="">
      <xdr:nvGraphicFramePr>
        <xdr:cNvPr id="97" name="Chart 96">
          <a:extLst>
            <a:ext uri="{FF2B5EF4-FFF2-40B4-BE49-F238E27FC236}">
              <a16:creationId xmlns:a16="http://schemas.microsoft.com/office/drawing/2014/main" id="{5A174587-46BB-40A4-98C2-FC7003F41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276225</xdr:colOff>
      <xdr:row>10</xdr:row>
      <xdr:rowOff>152400</xdr:rowOff>
    </xdr:from>
    <xdr:to>
      <xdr:col>6</xdr:col>
      <xdr:colOff>228600</xdr:colOff>
      <xdr:row>12</xdr:row>
      <xdr:rowOff>39301</xdr:rowOff>
    </xdr:to>
    <xdr:sp macro="" textlink="">
      <xdr:nvSpPr>
        <xdr:cNvPr id="99" name="TextBox 98">
          <a:extLst>
            <a:ext uri="{FF2B5EF4-FFF2-40B4-BE49-F238E27FC236}">
              <a16:creationId xmlns:a16="http://schemas.microsoft.com/office/drawing/2014/main" id="{AD1B51E0-B2AA-4920-9CA1-654811D072C7}"/>
            </a:ext>
          </a:extLst>
        </xdr:cNvPr>
        <xdr:cNvSpPr txBox="1"/>
      </xdr:nvSpPr>
      <xdr:spPr>
        <a:xfrm>
          <a:off x="3705225" y="1962150"/>
          <a:ext cx="63817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800">
              <a:solidFill>
                <a:schemeClr val="lt1"/>
              </a:solidFill>
              <a:latin typeface="+mn-lt"/>
              <a:ea typeface="+mn-ea"/>
              <a:cs typeface="+mn-cs"/>
            </a:rPr>
            <a:t> Analyst</a:t>
          </a:r>
        </a:p>
      </xdr:txBody>
    </xdr:sp>
    <xdr:clientData/>
  </xdr:twoCellAnchor>
  <xdr:twoCellAnchor>
    <xdr:from>
      <xdr:col>24</xdr:col>
      <xdr:colOff>676274</xdr:colOff>
      <xdr:row>6</xdr:row>
      <xdr:rowOff>152400</xdr:rowOff>
    </xdr:from>
    <xdr:to>
      <xdr:col>25</xdr:col>
      <xdr:colOff>469772</xdr:colOff>
      <xdr:row>8</xdr:row>
      <xdr:rowOff>39301</xdr:rowOff>
    </xdr:to>
    <xdr:sp macro="" textlink="">
      <xdr:nvSpPr>
        <xdr:cNvPr id="100" name="TextBox 99">
          <a:extLst>
            <a:ext uri="{FF2B5EF4-FFF2-40B4-BE49-F238E27FC236}">
              <a16:creationId xmlns:a16="http://schemas.microsoft.com/office/drawing/2014/main" id="{AACC27CC-475D-434B-824F-18931D65BC1F}"/>
            </a:ext>
          </a:extLst>
        </xdr:cNvPr>
        <xdr:cNvSpPr txBox="1"/>
      </xdr:nvSpPr>
      <xdr:spPr>
        <a:xfrm>
          <a:off x="17135474" y="1238250"/>
          <a:ext cx="47929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a:solidFill>
                <a:schemeClr val="lt1"/>
              </a:solidFill>
              <a:latin typeface="+mn-lt"/>
              <a:ea typeface="+mn-ea"/>
              <a:cs typeface="+mn-cs"/>
            </a:rPr>
            <a:t> Analyst</a:t>
          </a:r>
        </a:p>
      </xdr:txBody>
    </xdr:sp>
    <xdr:clientData/>
  </xdr:twoCellAnchor>
  <xdr:twoCellAnchor>
    <xdr:from>
      <xdr:col>6</xdr:col>
      <xdr:colOff>171450</xdr:colOff>
      <xdr:row>10</xdr:row>
      <xdr:rowOff>152400</xdr:rowOff>
    </xdr:from>
    <xdr:to>
      <xdr:col>7</xdr:col>
      <xdr:colOff>123825</xdr:colOff>
      <xdr:row>12</xdr:row>
      <xdr:rowOff>39301</xdr:rowOff>
    </xdr:to>
    <xdr:sp macro="" textlink="">
      <xdr:nvSpPr>
        <xdr:cNvPr id="102" name="TextBox 101">
          <a:extLst>
            <a:ext uri="{FF2B5EF4-FFF2-40B4-BE49-F238E27FC236}">
              <a16:creationId xmlns:a16="http://schemas.microsoft.com/office/drawing/2014/main" id="{7EF87338-E822-4F94-B417-ED7DB527234A}"/>
            </a:ext>
          </a:extLst>
        </xdr:cNvPr>
        <xdr:cNvSpPr txBox="1"/>
      </xdr:nvSpPr>
      <xdr:spPr>
        <a:xfrm>
          <a:off x="4286250" y="1962150"/>
          <a:ext cx="63817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800">
              <a:solidFill>
                <a:schemeClr val="lt1"/>
              </a:solidFill>
              <a:latin typeface="+mn-lt"/>
              <a:ea typeface="+mn-ea"/>
              <a:cs typeface="+mn-cs"/>
            </a:rPr>
            <a:t> Designer</a:t>
          </a:r>
        </a:p>
      </xdr:txBody>
    </xdr:sp>
    <xdr:clientData/>
  </xdr:twoCellAnchor>
  <xdr:twoCellAnchor>
    <xdr:from>
      <xdr:col>7</xdr:col>
      <xdr:colOff>28575</xdr:colOff>
      <xdr:row>10</xdr:row>
      <xdr:rowOff>152400</xdr:rowOff>
    </xdr:from>
    <xdr:to>
      <xdr:col>7</xdr:col>
      <xdr:colOff>666750</xdr:colOff>
      <xdr:row>12</xdr:row>
      <xdr:rowOff>39301</xdr:rowOff>
    </xdr:to>
    <xdr:sp macro="" textlink="">
      <xdr:nvSpPr>
        <xdr:cNvPr id="103" name="TextBox 102">
          <a:extLst>
            <a:ext uri="{FF2B5EF4-FFF2-40B4-BE49-F238E27FC236}">
              <a16:creationId xmlns:a16="http://schemas.microsoft.com/office/drawing/2014/main" id="{644D3664-B0F6-4339-BE99-581727E56C6D}"/>
            </a:ext>
          </a:extLst>
        </xdr:cNvPr>
        <xdr:cNvSpPr txBox="1"/>
      </xdr:nvSpPr>
      <xdr:spPr>
        <a:xfrm>
          <a:off x="4829175" y="1962150"/>
          <a:ext cx="63817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800">
              <a:solidFill>
                <a:schemeClr val="lt1"/>
              </a:solidFill>
              <a:latin typeface="+mn-lt"/>
              <a:ea typeface="+mn-ea"/>
              <a:cs typeface="+mn-cs"/>
            </a:rPr>
            <a:t> Developer</a:t>
          </a:r>
        </a:p>
      </xdr:txBody>
    </xdr:sp>
    <xdr:clientData/>
  </xdr:twoCellAnchor>
  <xdr:twoCellAnchor>
    <xdr:from>
      <xdr:col>6</xdr:col>
      <xdr:colOff>600075</xdr:colOff>
      <xdr:row>11</xdr:row>
      <xdr:rowOff>114300</xdr:rowOff>
    </xdr:from>
    <xdr:to>
      <xdr:col>7</xdr:col>
      <xdr:colOff>552450</xdr:colOff>
      <xdr:row>13</xdr:row>
      <xdr:rowOff>1201</xdr:rowOff>
    </xdr:to>
    <xdr:sp macro="" textlink="">
      <xdr:nvSpPr>
        <xdr:cNvPr id="104" name="TextBox 103">
          <a:extLst>
            <a:ext uri="{FF2B5EF4-FFF2-40B4-BE49-F238E27FC236}">
              <a16:creationId xmlns:a16="http://schemas.microsoft.com/office/drawing/2014/main" id="{A6807C52-659E-4E6C-9155-B25F09F19FED}"/>
            </a:ext>
          </a:extLst>
        </xdr:cNvPr>
        <xdr:cNvSpPr txBox="1"/>
      </xdr:nvSpPr>
      <xdr:spPr>
        <a:xfrm>
          <a:off x="4714875" y="2105025"/>
          <a:ext cx="63817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800">
              <a:solidFill>
                <a:schemeClr val="lt1"/>
              </a:solidFill>
              <a:latin typeface="+mn-lt"/>
              <a:ea typeface="+mn-ea"/>
              <a:cs typeface="+mn-cs"/>
            </a:rPr>
            <a:t> Manager</a:t>
          </a:r>
        </a:p>
      </xdr:txBody>
    </xdr:sp>
    <xdr:clientData/>
  </xdr:twoCellAnchor>
  <xdr:twoCellAnchor>
    <xdr:from>
      <xdr:col>5</xdr:col>
      <xdr:colOff>276225</xdr:colOff>
      <xdr:row>11</xdr:row>
      <xdr:rowOff>114300</xdr:rowOff>
    </xdr:from>
    <xdr:to>
      <xdr:col>6</xdr:col>
      <xdr:colOff>476250</xdr:colOff>
      <xdr:row>13</xdr:row>
      <xdr:rowOff>1201</xdr:rowOff>
    </xdr:to>
    <xdr:sp macro="" textlink="">
      <xdr:nvSpPr>
        <xdr:cNvPr id="105" name="TextBox 104">
          <a:extLst>
            <a:ext uri="{FF2B5EF4-FFF2-40B4-BE49-F238E27FC236}">
              <a16:creationId xmlns:a16="http://schemas.microsoft.com/office/drawing/2014/main" id="{220AB4C4-0E0C-4419-A4E9-139A17FB0483}"/>
            </a:ext>
          </a:extLst>
        </xdr:cNvPr>
        <xdr:cNvSpPr txBox="1"/>
      </xdr:nvSpPr>
      <xdr:spPr>
        <a:xfrm>
          <a:off x="3705225" y="2105025"/>
          <a:ext cx="88582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800">
              <a:solidFill>
                <a:schemeClr val="lt1"/>
              </a:solidFill>
              <a:latin typeface="+mn-lt"/>
              <a:ea typeface="+mn-ea"/>
              <a:cs typeface="+mn-cs"/>
            </a:rPr>
            <a:t> HR</a:t>
          </a:r>
          <a:r>
            <a:rPr lang="en-IN" sz="800" baseline="0">
              <a:solidFill>
                <a:schemeClr val="lt1"/>
              </a:solidFill>
              <a:latin typeface="+mn-lt"/>
              <a:ea typeface="+mn-ea"/>
              <a:cs typeface="+mn-cs"/>
            </a:rPr>
            <a:t> Specialist</a:t>
          </a:r>
          <a:endParaRPr lang="en-IN" sz="800">
            <a:solidFill>
              <a:schemeClr val="lt1"/>
            </a:solidFill>
            <a:latin typeface="+mn-lt"/>
            <a:ea typeface="+mn-ea"/>
            <a:cs typeface="+mn-cs"/>
          </a:endParaRPr>
        </a:p>
      </xdr:txBody>
    </xdr:sp>
    <xdr:clientData/>
  </xdr:twoCellAnchor>
  <xdr:twoCellAnchor>
    <xdr:from>
      <xdr:col>5</xdr:col>
      <xdr:colOff>285750</xdr:colOff>
      <xdr:row>11</xdr:row>
      <xdr:rowOff>47625</xdr:rowOff>
    </xdr:from>
    <xdr:to>
      <xdr:col>5</xdr:col>
      <xdr:colOff>361950</xdr:colOff>
      <xdr:row>11</xdr:row>
      <xdr:rowOff>114300</xdr:rowOff>
    </xdr:to>
    <xdr:sp macro="" textlink="">
      <xdr:nvSpPr>
        <xdr:cNvPr id="106" name="Oval 105">
          <a:extLst>
            <a:ext uri="{FF2B5EF4-FFF2-40B4-BE49-F238E27FC236}">
              <a16:creationId xmlns:a16="http://schemas.microsoft.com/office/drawing/2014/main" id="{24C0D1A6-E8EB-4DF1-866B-816C30641D42}"/>
            </a:ext>
          </a:extLst>
        </xdr:cNvPr>
        <xdr:cNvSpPr/>
      </xdr:nvSpPr>
      <xdr:spPr>
        <a:xfrm>
          <a:off x="3714750" y="2038350"/>
          <a:ext cx="76200" cy="66675"/>
        </a:xfrm>
        <a:prstGeom prst="ellipse">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190500</xdr:colOff>
      <xdr:row>11</xdr:row>
      <xdr:rowOff>47625</xdr:rowOff>
    </xdr:from>
    <xdr:to>
      <xdr:col>6</xdr:col>
      <xdr:colOff>266700</xdr:colOff>
      <xdr:row>11</xdr:row>
      <xdr:rowOff>114300</xdr:rowOff>
    </xdr:to>
    <xdr:sp macro="" textlink="">
      <xdr:nvSpPr>
        <xdr:cNvPr id="107" name="Oval 106">
          <a:extLst>
            <a:ext uri="{FF2B5EF4-FFF2-40B4-BE49-F238E27FC236}">
              <a16:creationId xmlns:a16="http://schemas.microsoft.com/office/drawing/2014/main" id="{D97E0904-9F88-4F04-922E-8BF8E8FC3432}"/>
            </a:ext>
          </a:extLst>
        </xdr:cNvPr>
        <xdr:cNvSpPr/>
      </xdr:nvSpPr>
      <xdr:spPr>
        <a:xfrm>
          <a:off x="4305300" y="2038350"/>
          <a:ext cx="76200" cy="6667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47625</xdr:colOff>
      <xdr:row>11</xdr:row>
      <xdr:rowOff>47625</xdr:rowOff>
    </xdr:from>
    <xdr:to>
      <xdr:col>7</xdr:col>
      <xdr:colOff>123825</xdr:colOff>
      <xdr:row>11</xdr:row>
      <xdr:rowOff>114300</xdr:rowOff>
    </xdr:to>
    <xdr:sp macro="" textlink="">
      <xdr:nvSpPr>
        <xdr:cNvPr id="108" name="Oval 107">
          <a:extLst>
            <a:ext uri="{FF2B5EF4-FFF2-40B4-BE49-F238E27FC236}">
              <a16:creationId xmlns:a16="http://schemas.microsoft.com/office/drawing/2014/main" id="{7960E9E5-9CE6-4B41-8530-6FD440814680}"/>
            </a:ext>
          </a:extLst>
        </xdr:cNvPr>
        <xdr:cNvSpPr/>
      </xdr:nvSpPr>
      <xdr:spPr>
        <a:xfrm>
          <a:off x="4848225" y="2038350"/>
          <a:ext cx="76200" cy="66675"/>
        </a:xfrm>
        <a:prstGeom prst="ellipse">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295275</xdr:colOff>
      <xdr:row>12</xdr:row>
      <xdr:rowOff>19050</xdr:rowOff>
    </xdr:from>
    <xdr:to>
      <xdr:col>5</xdr:col>
      <xdr:colOff>371475</xdr:colOff>
      <xdr:row>12</xdr:row>
      <xdr:rowOff>85725</xdr:rowOff>
    </xdr:to>
    <xdr:sp macro="" textlink="">
      <xdr:nvSpPr>
        <xdr:cNvPr id="109" name="Oval 108">
          <a:extLst>
            <a:ext uri="{FF2B5EF4-FFF2-40B4-BE49-F238E27FC236}">
              <a16:creationId xmlns:a16="http://schemas.microsoft.com/office/drawing/2014/main" id="{F29D22D3-61C0-44FC-A8BD-836F3110782E}"/>
            </a:ext>
          </a:extLst>
        </xdr:cNvPr>
        <xdr:cNvSpPr/>
      </xdr:nvSpPr>
      <xdr:spPr>
        <a:xfrm>
          <a:off x="3724275" y="2190750"/>
          <a:ext cx="76200" cy="66675"/>
        </a:xfrm>
        <a:prstGeom prst="ellipse">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581025</xdr:colOff>
      <xdr:row>12</xdr:row>
      <xdr:rowOff>19050</xdr:rowOff>
    </xdr:from>
    <xdr:to>
      <xdr:col>6</xdr:col>
      <xdr:colOff>657225</xdr:colOff>
      <xdr:row>12</xdr:row>
      <xdr:rowOff>85725</xdr:rowOff>
    </xdr:to>
    <xdr:sp macro="" textlink="">
      <xdr:nvSpPr>
        <xdr:cNvPr id="110" name="Oval 109">
          <a:extLst>
            <a:ext uri="{FF2B5EF4-FFF2-40B4-BE49-F238E27FC236}">
              <a16:creationId xmlns:a16="http://schemas.microsoft.com/office/drawing/2014/main" id="{D6F50CDA-4C73-4629-9151-F36B0984FBF7}"/>
            </a:ext>
          </a:extLst>
        </xdr:cNvPr>
        <xdr:cNvSpPr/>
      </xdr:nvSpPr>
      <xdr:spPr>
        <a:xfrm>
          <a:off x="4695825" y="2190750"/>
          <a:ext cx="76200" cy="66675"/>
        </a:xfrm>
        <a:prstGeom prst="ellipse">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314325</xdr:colOff>
      <xdr:row>4</xdr:row>
      <xdr:rowOff>0</xdr:rowOff>
    </xdr:from>
    <xdr:ext cx="614848" cy="280205"/>
    <xdr:sp macro="" textlink="">
      <xdr:nvSpPr>
        <xdr:cNvPr id="111" name="TextBox 110">
          <a:extLst>
            <a:ext uri="{FF2B5EF4-FFF2-40B4-BE49-F238E27FC236}">
              <a16:creationId xmlns:a16="http://schemas.microsoft.com/office/drawing/2014/main" id="{19CC1EDC-F290-4CCE-BF0B-0C0182D2F92F}"/>
            </a:ext>
          </a:extLst>
        </xdr:cNvPr>
        <xdr:cNvSpPr txBox="1"/>
      </xdr:nvSpPr>
      <xdr:spPr>
        <a:xfrm>
          <a:off x="3743325" y="723900"/>
          <a:ext cx="61484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rgbClr val="FF9900"/>
              </a:solidFill>
            </a:rPr>
            <a:t>Leaves</a:t>
          </a:r>
        </a:p>
      </xdr:txBody>
    </xdr:sp>
    <xdr:clientData/>
  </xdr:oneCellAnchor>
  <xdr:oneCellAnchor>
    <xdr:from>
      <xdr:col>5</xdr:col>
      <xdr:colOff>314325</xdr:colOff>
      <xdr:row>4</xdr:row>
      <xdr:rowOff>123825</xdr:rowOff>
    </xdr:from>
    <xdr:ext cx="1164678" cy="248851"/>
    <xdr:sp macro="" textlink="">
      <xdr:nvSpPr>
        <xdr:cNvPr id="112" name="TextBox 111">
          <a:extLst>
            <a:ext uri="{FF2B5EF4-FFF2-40B4-BE49-F238E27FC236}">
              <a16:creationId xmlns:a16="http://schemas.microsoft.com/office/drawing/2014/main" id="{2BE9BAC8-44A4-453D-99FC-D2AB3B25D95B}"/>
            </a:ext>
          </a:extLst>
        </xdr:cNvPr>
        <xdr:cNvSpPr txBox="1"/>
      </xdr:nvSpPr>
      <xdr:spPr>
        <a:xfrm>
          <a:off x="3743325" y="847725"/>
          <a:ext cx="116467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2">
                  <a:lumMod val="75000"/>
                </a:schemeClr>
              </a:solidFill>
            </a:rPr>
            <a:t>Taken</a:t>
          </a:r>
          <a:r>
            <a:rPr lang="en-IN" sz="1000" baseline="0">
              <a:solidFill>
                <a:schemeClr val="bg2">
                  <a:lumMod val="75000"/>
                </a:schemeClr>
              </a:solidFill>
            </a:rPr>
            <a:t> by Job Titles</a:t>
          </a:r>
          <a:endParaRPr lang="en-IN" sz="1000">
            <a:solidFill>
              <a:schemeClr val="bg2">
                <a:lumMod val="75000"/>
              </a:schemeClr>
            </a:solidFill>
          </a:endParaRPr>
        </a:p>
      </xdr:txBody>
    </xdr:sp>
    <xdr:clientData/>
  </xdr:oneCellAnchor>
  <xdr:twoCellAnchor>
    <xdr:from>
      <xdr:col>7</xdr:col>
      <xdr:colOff>666750</xdr:colOff>
      <xdr:row>5</xdr:row>
      <xdr:rowOff>47625</xdr:rowOff>
    </xdr:from>
    <xdr:to>
      <xdr:col>10</xdr:col>
      <xdr:colOff>352425</xdr:colOff>
      <xdr:row>12</xdr:row>
      <xdr:rowOff>123824</xdr:rowOff>
    </xdr:to>
    <xdr:grpSp>
      <xdr:nvGrpSpPr>
        <xdr:cNvPr id="128" name="Group 127">
          <a:extLst>
            <a:ext uri="{FF2B5EF4-FFF2-40B4-BE49-F238E27FC236}">
              <a16:creationId xmlns:a16="http://schemas.microsoft.com/office/drawing/2014/main" id="{1E72F997-E27E-4040-9E69-E1558D2CFB43}"/>
            </a:ext>
          </a:extLst>
        </xdr:cNvPr>
        <xdr:cNvGrpSpPr/>
      </xdr:nvGrpSpPr>
      <xdr:grpSpPr>
        <a:xfrm>
          <a:off x="5467350" y="952500"/>
          <a:ext cx="1743075" cy="1343024"/>
          <a:chOff x="5467350" y="714375"/>
          <a:chExt cx="1743075" cy="1581149"/>
        </a:xfrm>
      </xdr:grpSpPr>
      <xdr:graphicFrame macro="">
        <xdr:nvGraphicFramePr>
          <xdr:cNvPr id="113" name="Chart 112">
            <a:extLst>
              <a:ext uri="{FF2B5EF4-FFF2-40B4-BE49-F238E27FC236}">
                <a16:creationId xmlns:a16="http://schemas.microsoft.com/office/drawing/2014/main" id="{03428D08-733A-4A1D-A08E-AF50425961A4}"/>
              </a:ext>
            </a:extLst>
          </xdr:cNvPr>
          <xdr:cNvGraphicFramePr>
            <a:graphicFrameLocks/>
          </xdr:cNvGraphicFramePr>
        </xdr:nvGraphicFramePr>
        <xdr:xfrm>
          <a:off x="5467350" y="1104899"/>
          <a:ext cx="1743075" cy="1190625"/>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14" name="TextBox 113">
            <a:extLst>
              <a:ext uri="{FF2B5EF4-FFF2-40B4-BE49-F238E27FC236}">
                <a16:creationId xmlns:a16="http://schemas.microsoft.com/office/drawing/2014/main" id="{5ADFA904-EA75-4651-A464-69C6FBC76F13}"/>
              </a:ext>
            </a:extLst>
          </xdr:cNvPr>
          <xdr:cNvSpPr txBox="1"/>
        </xdr:nvSpPr>
        <xdr:spPr>
          <a:xfrm>
            <a:off x="5495925" y="714375"/>
            <a:ext cx="76989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rgbClr val="FF9900"/>
                </a:solidFill>
              </a:rPr>
              <a:t>Regions</a:t>
            </a:r>
          </a:p>
        </xdr:txBody>
      </xdr:sp>
      <xdr:sp macro="" textlink="">
        <xdr:nvSpPr>
          <xdr:cNvPr id="115" name="TextBox 114">
            <a:extLst>
              <a:ext uri="{FF2B5EF4-FFF2-40B4-BE49-F238E27FC236}">
                <a16:creationId xmlns:a16="http://schemas.microsoft.com/office/drawing/2014/main" id="{CA47BFD3-32A6-49D9-9229-1EF6B802815D}"/>
              </a:ext>
            </a:extLst>
          </xdr:cNvPr>
          <xdr:cNvSpPr txBox="1"/>
        </xdr:nvSpPr>
        <xdr:spPr>
          <a:xfrm>
            <a:off x="5505450" y="885825"/>
            <a:ext cx="139224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2">
                    <a:lumMod val="75000"/>
                  </a:schemeClr>
                </a:solidFill>
              </a:rPr>
              <a:t>Employees</a:t>
            </a:r>
            <a:r>
              <a:rPr lang="en-IN" sz="1000" baseline="0">
                <a:solidFill>
                  <a:schemeClr val="bg2">
                    <a:lumMod val="75000"/>
                  </a:schemeClr>
                </a:solidFill>
              </a:rPr>
              <a:t> per Region</a:t>
            </a:r>
            <a:endParaRPr lang="en-IN" sz="1000">
              <a:solidFill>
                <a:schemeClr val="bg2">
                  <a:lumMod val="75000"/>
                </a:schemeClr>
              </a:solidFill>
            </a:endParaRPr>
          </a:p>
        </xdr:txBody>
      </xdr:sp>
    </xdr:grpSp>
    <xdr:clientData/>
  </xdr:twoCellAnchor>
  <xdr:oneCellAnchor>
    <xdr:from>
      <xdr:col>8</xdr:col>
      <xdr:colOff>152400</xdr:colOff>
      <xdr:row>0</xdr:row>
      <xdr:rowOff>123825</xdr:rowOff>
    </xdr:from>
    <xdr:ext cx="704295" cy="593304"/>
    <xdr:sp macro="" textlink="Pivot!Z9">
      <xdr:nvSpPr>
        <xdr:cNvPr id="116" name="TextBox 115">
          <a:extLst>
            <a:ext uri="{FF2B5EF4-FFF2-40B4-BE49-F238E27FC236}">
              <a16:creationId xmlns:a16="http://schemas.microsoft.com/office/drawing/2014/main" id="{7D0C1F7B-4749-4638-AF04-8C7011114E1D}"/>
            </a:ext>
          </a:extLst>
        </xdr:cNvPr>
        <xdr:cNvSpPr txBox="1"/>
      </xdr:nvSpPr>
      <xdr:spPr>
        <a:xfrm>
          <a:off x="5638800" y="123825"/>
          <a:ext cx="704295"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3D35D86-039A-427B-A50C-AEC82AF0FD5C}" type="TxLink">
            <a:rPr lang="en-US" sz="3200" b="1" i="0" u="none" strike="noStrike">
              <a:solidFill>
                <a:schemeClr val="bg1"/>
              </a:solidFill>
              <a:latin typeface="Aptos Narrow"/>
            </a:rPr>
            <a:pPr/>
            <a:t>2.6</a:t>
          </a:fld>
          <a:endParaRPr lang="en-IN" sz="16600" b="1">
            <a:solidFill>
              <a:schemeClr val="bg1"/>
            </a:solidFill>
          </a:endParaRPr>
        </a:p>
      </xdr:txBody>
    </xdr:sp>
    <xdr:clientData/>
  </xdr:oneCellAnchor>
  <xdr:oneCellAnchor>
    <xdr:from>
      <xdr:col>1</xdr:col>
      <xdr:colOff>142875</xdr:colOff>
      <xdr:row>0</xdr:row>
      <xdr:rowOff>133350</xdr:rowOff>
    </xdr:from>
    <xdr:ext cx="1707903" cy="405432"/>
    <xdr:sp macro="" textlink="">
      <xdr:nvSpPr>
        <xdr:cNvPr id="121" name="TextBox 120">
          <a:extLst>
            <a:ext uri="{FF2B5EF4-FFF2-40B4-BE49-F238E27FC236}">
              <a16:creationId xmlns:a16="http://schemas.microsoft.com/office/drawing/2014/main" id="{864C4101-EA7B-4847-9383-A2E7B0C72523}"/>
            </a:ext>
          </a:extLst>
        </xdr:cNvPr>
        <xdr:cNvSpPr txBox="1"/>
      </xdr:nvSpPr>
      <xdr:spPr>
        <a:xfrm>
          <a:off x="828675" y="133350"/>
          <a:ext cx="170790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rgbClr val="FF9900"/>
              </a:solidFill>
            </a:rPr>
            <a:t>HR</a:t>
          </a:r>
          <a:r>
            <a:rPr lang="en-IN" sz="2000" b="1" baseline="0">
              <a:solidFill>
                <a:srgbClr val="FF9900"/>
              </a:solidFill>
            </a:rPr>
            <a:t> Dashboard</a:t>
          </a:r>
          <a:endParaRPr lang="en-IN" sz="2000" b="1">
            <a:solidFill>
              <a:srgbClr val="FF9900"/>
            </a:solidFill>
          </a:endParaRPr>
        </a:p>
      </xdr:txBody>
    </xdr:sp>
    <xdr:clientData/>
  </xdr:oneCellAnchor>
  <xdr:twoCellAnchor editAs="oneCell">
    <xdr:from>
      <xdr:col>0</xdr:col>
      <xdr:colOff>152400</xdr:colOff>
      <xdr:row>0</xdr:row>
      <xdr:rowOff>0</xdr:rowOff>
    </xdr:from>
    <xdr:to>
      <xdr:col>1</xdr:col>
      <xdr:colOff>209550</xdr:colOff>
      <xdr:row>4</xdr:row>
      <xdr:rowOff>19050</xdr:rowOff>
    </xdr:to>
    <xdr:pic>
      <xdr:nvPicPr>
        <xdr:cNvPr id="123" name="Graphic 122" descr="Cycle with people">
          <a:extLst>
            <a:ext uri="{FF2B5EF4-FFF2-40B4-BE49-F238E27FC236}">
              <a16:creationId xmlns:a16="http://schemas.microsoft.com/office/drawing/2014/main" id="{0D54BE1B-9BBF-42CC-96B6-FB3C1DF8A987}"/>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52400" y="0"/>
          <a:ext cx="742950" cy="742950"/>
        </a:xfrm>
        <a:prstGeom prst="rect">
          <a:avLst/>
        </a:prstGeom>
      </xdr:spPr>
    </xdr:pic>
    <xdr:clientData/>
  </xdr:twoCellAnchor>
  <xdr:oneCellAnchor>
    <xdr:from>
      <xdr:col>1</xdr:col>
      <xdr:colOff>133350</xdr:colOff>
      <xdr:row>2</xdr:row>
      <xdr:rowOff>9525</xdr:rowOff>
    </xdr:from>
    <xdr:ext cx="2319546" cy="248851"/>
    <xdr:sp macro="" textlink="">
      <xdr:nvSpPr>
        <xdr:cNvPr id="124" name="TextBox 123">
          <a:extLst>
            <a:ext uri="{FF2B5EF4-FFF2-40B4-BE49-F238E27FC236}">
              <a16:creationId xmlns:a16="http://schemas.microsoft.com/office/drawing/2014/main" id="{DFE5539B-CDC5-46E3-9032-A3F3B73167DD}"/>
            </a:ext>
          </a:extLst>
        </xdr:cNvPr>
        <xdr:cNvSpPr txBox="1"/>
      </xdr:nvSpPr>
      <xdr:spPr>
        <a:xfrm>
          <a:off x="819150" y="371475"/>
          <a:ext cx="2319546"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00">
              <a:solidFill>
                <a:schemeClr val="bg2">
                  <a:lumMod val="75000"/>
                </a:schemeClr>
              </a:solidFill>
            </a:rPr>
            <a:t>Analyze</a:t>
          </a:r>
          <a:r>
            <a:rPr lang="en-IN" sz="1000" baseline="0">
              <a:solidFill>
                <a:schemeClr val="bg2">
                  <a:lumMod val="75000"/>
                </a:schemeClr>
              </a:solidFill>
            </a:rPr>
            <a:t> and Monitor the HR Department</a:t>
          </a:r>
          <a:endParaRPr lang="en-IN" sz="1000">
            <a:solidFill>
              <a:schemeClr val="bg2">
                <a:lumMod val="75000"/>
              </a:schemeClr>
            </a:solidFill>
          </a:endParaRPr>
        </a:p>
      </xdr:txBody>
    </xdr:sp>
    <xdr:clientData/>
  </xdr:oneCellAnchor>
  <xdr:twoCellAnchor editAs="oneCell">
    <xdr:from>
      <xdr:col>5</xdr:col>
      <xdr:colOff>85724</xdr:colOff>
      <xdr:row>0</xdr:row>
      <xdr:rowOff>0</xdr:rowOff>
    </xdr:from>
    <xdr:to>
      <xdr:col>7</xdr:col>
      <xdr:colOff>542924</xdr:colOff>
      <xdr:row>3</xdr:row>
      <xdr:rowOff>133348</xdr:rowOff>
    </xdr:to>
    <mc:AlternateContent xmlns:mc="http://schemas.openxmlformats.org/markup-compatibility/2006" xmlns:a14="http://schemas.microsoft.com/office/drawing/2010/main">
      <mc:Choice Requires="a14">
        <xdr:graphicFrame macro="">
          <xdr:nvGraphicFramePr>
            <xdr:cNvPr id="125" name="Gender">
              <a:extLst>
                <a:ext uri="{FF2B5EF4-FFF2-40B4-BE49-F238E27FC236}">
                  <a16:creationId xmlns:a16="http://schemas.microsoft.com/office/drawing/2014/main" id="{E332D4D4-2E20-4762-BEC4-1E496C869E0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514724" y="0"/>
              <a:ext cx="1828800" cy="676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619123</xdr:colOff>
      <xdr:row>0</xdr:row>
      <xdr:rowOff>0</xdr:rowOff>
    </xdr:from>
    <xdr:to>
      <xdr:col>10</xdr:col>
      <xdr:colOff>485775</xdr:colOff>
      <xdr:row>4</xdr:row>
      <xdr:rowOff>152398</xdr:rowOff>
    </xdr:to>
    <mc:AlternateContent xmlns:mc="http://schemas.openxmlformats.org/markup-compatibility/2006" xmlns:a14="http://schemas.microsoft.com/office/drawing/2010/main">
      <mc:Choice Requires="a14">
        <xdr:graphicFrame macro="">
          <xdr:nvGraphicFramePr>
            <xdr:cNvPr id="126" name="Department">
              <a:extLst>
                <a:ext uri="{FF2B5EF4-FFF2-40B4-BE49-F238E27FC236}">
                  <a16:creationId xmlns:a16="http://schemas.microsoft.com/office/drawing/2014/main" id="{CEC6F73A-E712-4DE5-872F-69FE89D517E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419723" y="0"/>
              <a:ext cx="1924052" cy="876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85725</xdr:colOff>
      <xdr:row>0</xdr:row>
      <xdr:rowOff>0</xdr:rowOff>
    </xdr:from>
    <xdr:ext cx="1128642" cy="264560"/>
    <xdr:sp macro="" textlink="">
      <xdr:nvSpPr>
        <xdr:cNvPr id="129" name="TextBox 128">
          <a:extLst>
            <a:ext uri="{FF2B5EF4-FFF2-40B4-BE49-F238E27FC236}">
              <a16:creationId xmlns:a16="http://schemas.microsoft.com/office/drawing/2014/main" id="{A9EBED49-4C3C-41FB-8CC4-758A492A3C06}"/>
            </a:ext>
          </a:extLst>
        </xdr:cNvPr>
        <xdr:cNvSpPr txBox="1"/>
      </xdr:nvSpPr>
      <xdr:spPr>
        <a:xfrm>
          <a:off x="3514725" y="0"/>
          <a:ext cx="1128642" cy="264560"/>
        </a:xfrm>
        <a:prstGeom prst="rect">
          <a:avLst/>
        </a:prstGeom>
        <a:solidFill>
          <a:schemeClr val="tx1">
            <a:lumMod val="85000"/>
            <a:lumOff val="1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bg1"/>
              </a:solidFill>
            </a:rPr>
            <a:t>Filter</a:t>
          </a:r>
          <a:r>
            <a:rPr lang="en-IN" sz="1050" b="1" baseline="0">
              <a:solidFill>
                <a:schemeClr val="bg1"/>
              </a:solidFill>
            </a:rPr>
            <a:t> by Gender</a:t>
          </a:r>
          <a:endParaRPr lang="en-IN" sz="1100" b="1">
            <a:solidFill>
              <a:schemeClr val="bg1"/>
            </a:solidFill>
          </a:endParaRPr>
        </a:p>
      </xdr:txBody>
    </xdr:sp>
    <xdr:clientData/>
  </xdr:oneCellAnchor>
  <xdr:oneCellAnchor>
    <xdr:from>
      <xdr:col>7</xdr:col>
      <xdr:colOff>609600</xdr:colOff>
      <xdr:row>0</xdr:row>
      <xdr:rowOff>9525</xdr:rowOff>
    </xdr:from>
    <xdr:ext cx="1400175" cy="264560"/>
    <xdr:sp macro="" textlink="">
      <xdr:nvSpPr>
        <xdr:cNvPr id="130" name="TextBox 129">
          <a:extLst>
            <a:ext uri="{FF2B5EF4-FFF2-40B4-BE49-F238E27FC236}">
              <a16:creationId xmlns:a16="http://schemas.microsoft.com/office/drawing/2014/main" id="{2AD71365-FE62-46F9-A315-E80026D01CC9}"/>
            </a:ext>
          </a:extLst>
        </xdr:cNvPr>
        <xdr:cNvSpPr txBox="1"/>
      </xdr:nvSpPr>
      <xdr:spPr>
        <a:xfrm>
          <a:off x="5410200" y="9525"/>
          <a:ext cx="1400175" cy="264560"/>
        </a:xfrm>
        <a:prstGeom prst="rect">
          <a:avLst/>
        </a:prstGeom>
        <a:solidFill>
          <a:schemeClr val="tx1">
            <a:lumMod val="85000"/>
            <a:lumOff val="1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050" b="1">
              <a:solidFill>
                <a:schemeClr val="bg1"/>
              </a:solidFill>
            </a:rPr>
            <a:t>Filter</a:t>
          </a:r>
          <a:r>
            <a:rPr lang="en-IN" sz="1050" b="1" baseline="0">
              <a:solidFill>
                <a:schemeClr val="bg1"/>
              </a:solidFill>
            </a:rPr>
            <a:t> by Department</a:t>
          </a:r>
          <a:endParaRPr lang="en-IN" sz="1100" b="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18.932178819443" createdVersion="6" refreshedVersion="6" minRefreshableVersion="3" recordCount="50" xr:uid="{B971DA24-6DD1-4D86-A76F-A84ACBFC1DA8}">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ount="27">
        <n v="25"/>
        <n v="27"/>
        <n v="34"/>
        <n v="41"/>
        <n v="56"/>
        <n v="28"/>
        <n v="20"/>
        <n v="58"/>
        <n v="44"/>
        <n v="29"/>
        <n v="23"/>
        <n v="30"/>
        <n v="49"/>
        <n v="60"/>
        <n v="46"/>
        <n v="57"/>
        <n v="24"/>
        <n v="35"/>
        <n v="36"/>
        <n v="31"/>
        <n v="37"/>
        <n v="48"/>
        <n v="45"/>
        <n v="52"/>
        <n v="42"/>
        <n v="21"/>
        <n v="59"/>
      </sharedItems>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854060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x v="0"/>
    <x v="0"/>
    <x v="0"/>
    <x v="0"/>
    <x v="0"/>
    <s v="Luis Reynolds"/>
    <s v="2019-03-15"/>
    <x v="0"/>
    <x v="0"/>
    <n v="53700"/>
    <s v="C"/>
    <n v="1463"/>
    <s v="Health"/>
    <n v="1"/>
    <n v="1"/>
    <s v="Leadership Training"/>
    <x v="0"/>
    <s v="Certified Professional"/>
  </r>
  <r>
    <n v="9116"/>
    <s v="Gary Garcia"/>
    <x v="1"/>
    <x v="1"/>
    <x v="1"/>
    <x v="1"/>
    <x v="1"/>
    <x v="1"/>
    <s v="Ashley Simmons MD"/>
    <s v="2022-12-20"/>
    <x v="0"/>
    <x v="1"/>
    <n v="91091"/>
    <s v="B"/>
    <n v="1024"/>
    <s v="None"/>
    <n v="19"/>
    <n v="4"/>
    <s v="Excel Workshop"/>
    <x v="0"/>
    <s v="Certified Professional"/>
  </r>
  <r>
    <n v="5120"/>
    <s v="Jeremy Nguyen"/>
    <x v="1"/>
    <x v="2"/>
    <x v="1"/>
    <x v="2"/>
    <x v="2"/>
    <x v="2"/>
    <s v="Cassandra Duncan"/>
    <s v="2022-08-10"/>
    <x v="0"/>
    <x v="2"/>
    <n v="57538"/>
    <s v="D"/>
    <n v="1674"/>
    <s v="None"/>
    <n v="8"/>
    <n v="1"/>
    <s v="None"/>
    <x v="1"/>
    <s v="Advanced Training"/>
  </r>
  <r>
    <n v="8071"/>
    <s v="Kimberly Jones"/>
    <x v="0"/>
    <x v="3"/>
    <x v="2"/>
    <x v="2"/>
    <x v="0"/>
    <x v="3"/>
    <s v="Janet Harris"/>
    <s v="2024-09-03"/>
    <x v="1"/>
    <x v="0"/>
    <n v="62993"/>
    <s v="A"/>
    <n v="2695"/>
    <s v="Health + Dental"/>
    <n v="0"/>
    <n v="2"/>
    <s v="None"/>
    <x v="2"/>
    <s v="None"/>
  </r>
  <r>
    <n v="9351"/>
    <s v="Anthony Gates"/>
    <x v="1"/>
    <x v="4"/>
    <x v="3"/>
    <x v="0"/>
    <x v="0"/>
    <x v="2"/>
    <s v="Mr. Frank Clay"/>
    <s v="2019-03-14"/>
    <x v="1"/>
    <x v="1"/>
    <n v="45773"/>
    <s v="A"/>
    <n v="8776"/>
    <s v="Health"/>
    <n v="16"/>
    <n v="4"/>
    <s v="Leadership Training"/>
    <x v="2"/>
    <s v="None"/>
  </r>
  <r>
    <n v="2873"/>
    <s v="Courtney Foster"/>
    <x v="0"/>
    <x v="5"/>
    <x v="1"/>
    <x v="2"/>
    <x v="3"/>
    <x v="2"/>
    <s v="Dorothy Price"/>
    <s v="2017-01-23"/>
    <x v="0"/>
    <x v="1"/>
    <n v="96249"/>
    <s v="C"/>
    <n v="4826"/>
    <s v="Health + Dental"/>
    <n v="7"/>
    <n v="3"/>
    <s v="Leadership Training"/>
    <x v="3"/>
    <s v="Certified Professional"/>
  </r>
  <r>
    <n v="3540"/>
    <s v="Catherine Hall"/>
    <x v="0"/>
    <x v="6"/>
    <x v="0"/>
    <x v="1"/>
    <x v="2"/>
    <x v="2"/>
    <s v="Michele Sexton"/>
    <s v="2024-08-17"/>
    <x v="0"/>
    <x v="2"/>
    <n v="61596"/>
    <s v="C"/>
    <n v="8818"/>
    <s v="Health + Dental"/>
    <n v="4"/>
    <n v="2"/>
    <s v="Leadership Training"/>
    <x v="1"/>
    <s v="None"/>
  </r>
  <r>
    <n v="3653"/>
    <s v="Deanna Ball"/>
    <x v="0"/>
    <x v="7"/>
    <x v="3"/>
    <x v="3"/>
    <x v="1"/>
    <x v="4"/>
    <s v="Richard Schmidt"/>
    <s v="2014-12-09"/>
    <x v="0"/>
    <x v="2"/>
    <n v="97869"/>
    <s v="A"/>
    <n v="1966"/>
    <s v="Health"/>
    <n v="10"/>
    <n v="1"/>
    <s v="Leadership Training"/>
    <x v="0"/>
    <s v="Certified Professional"/>
  </r>
  <r>
    <n v="5587"/>
    <s v="Candace Nelson"/>
    <x v="0"/>
    <x v="8"/>
    <x v="2"/>
    <x v="3"/>
    <x v="2"/>
    <x v="2"/>
    <s v="Teresa Pearson"/>
    <s v="2021-06-28"/>
    <x v="0"/>
    <x v="0"/>
    <n v="81235"/>
    <s v="A"/>
    <n v="6553"/>
    <s v="None"/>
    <n v="16"/>
    <n v="2"/>
    <s v="None"/>
    <x v="1"/>
    <s v="Certified Professional"/>
  </r>
  <r>
    <n v="9554"/>
    <s v="Mandy Davis"/>
    <x v="0"/>
    <x v="9"/>
    <x v="1"/>
    <x v="1"/>
    <x v="2"/>
    <x v="3"/>
    <s v="Laura Hart"/>
    <s v="2018-05-20"/>
    <x v="0"/>
    <x v="1"/>
    <n v="87852"/>
    <s v="A"/>
    <n v="4980"/>
    <s v="Health + Dental"/>
    <n v="19"/>
    <n v="3"/>
    <s v="None"/>
    <x v="2"/>
    <s v="Certified Professional"/>
  </r>
  <r>
    <n v="6213"/>
    <s v="Matthew Powell"/>
    <x v="1"/>
    <x v="10"/>
    <x v="0"/>
    <x v="3"/>
    <x v="0"/>
    <x v="2"/>
    <s v="Andrea May"/>
    <s v="2017-02-13"/>
    <x v="1"/>
    <x v="1"/>
    <n v="59359"/>
    <s v="A"/>
    <n v="9449"/>
    <s v="Health + Dental"/>
    <n v="20"/>
    <n v="3"/>
    <s v="None"/>
    <x v="1"/>
    <s v="None"/>
  </r>
  <r>
    <n v="9105"/>
    <s v="Bruce Nelson"/>
    <x v="1"/>
    <x v="11"/>
    <x v="1"/>
    <x v="0"/>
    <x v="1"/>
    <x v="0"/>
    <s v="Casey Martin"/>
    <s v="2024-05-05"/>
    <x v="1"/>
    <x v="2"/>
    <n v="81225"/>
    <s v="D"/>
    <n v="6202"/>
    <s v="Health + Dental"/>
    <n v="2"/>
    <n v="2"/>
    <s v="Excel Workshop"/>
    <x v="4"/>
    <s v="Certified Professional"/>
  </r>
  <r>
    <n v="9508"/>
    <s v="Dawn Cole"/>
    <x v="0"/>
    <x v="12"/>
    <x v="4"/>
    <x v="1"/>
    <x v="0"/>
    <x v="0"/>
    <s v="Amber Allen"/>
    <s v="2022-04-19"/>
    <x v="1"/>
    <x v="0"/>
    <n v="32788"/>
    <s v="D"/>
    <n v="4396"/>
    <s v="Health"/>
    <n v="13"/>
    <n v="5"/>
    <s v="None"/>
    <x v="3"/>
    <s v="Advanced Training"/>
  </r>
  <r>
    <n v="2436"/>
    <s v="Tanner Morse"/>
    <x v="1"/>
    <x v="13"/>
    <x v="3"/>
    <x v="4"/>
    <x v="0"/>
    <x v="3"/>
    <s v="Adam Johnson"/>
    <s v="2015-11-16"/>
    <x v="1"/>
    <x v="2"/>
    <n v="70452"/>
    <s v="D"/>
    <n v="9911"/>
    <s v="None"/>
    <n v="2"/>
    <n v="1"/>
    <s v="None"/>
    <x v="3"/>
    <s v="Certified Professional"/>
  </r>
  <r>
    <n v="4441"/>
    <s v="Jose Griffin"/>
    <x v="1"/>
    <x v="14"/>
    <x v="4"/>
    <x v="1"/>
    <x v="3"/>
    <x v="0"/>
    <s v="Nicole Dominguez"/>
    <s v="2023-09-09"/>
    <x v="0"/>
    <x v="1"/>
    <n v="33045"/>
    <s v="B"/>
    <n v="1456"/>
    <s v="None"/>
    <n v="16"/>
    <n v="3"/>
    <s v="Excel Workshop"/>
    <x v="3"/>
    <s v="None"/>
  </r>
  <r>
    <n v="5827"/>
    <s v="Daniel Hawkins"/>
    <x v="1"/>
    <x v="15"/>
    <x v="3"/>
    <x v="2"/>
    <x v="3"/>
    <x v="1"/>
    <s v="Andrew Best"/>
    <s v="2017-12-12"/>
    <x v="2"/>
    <x v="2"/>
    <n v="96429"/>
    <s v="C"/>
    <n v="4740"/>
    <s v="None"/>
    <n v="8"/>
    <n v="1"/>
    <s v="Excel Workshop"/>
    <x v="2"/>
    <s v="None"/>
  </r>
  <r>
    <n v="5184"/>
    <s v="Elaine Mcclain"/>
    <x v="0"/>
    <x v="16"/>
    <x v="0"/>
    <x v="1"/>
    <x v="2"/>
    <x v="2"/>
    <s v="Gabrielle Rodriguez"/>
    <s v="2017-03-10"/>
    <x v="2"/>
    <x v="2"/>
    <n v="33183"/>
    <s v="A"/>
    <n v="8114"/>
    <s v="None"/>
    <n v="4"/>
    <n v="2"/>
    <s v="Excel Workshop"/>
    <x v="4"/>
    <s v="Advanced Training"/>
  </r>
  <r>
    <n v="5874"/>
    <s v="Kimberly Jones"/>
    <x v="0"/>
    <x v="17"/>
    <x v="1"/>
    <x v="4"/>
    <x v="3"/>
    <x v="0"/>
    <s v="Allison Harvey"/>
    <s v="2019-03-04"/>
    <x v="2"/>
    <x v="0"/>
    <n v="75065"/>
    <s v="C"/>
    <n v="7123"/>
    <s v="None"/>
    <n v="20"/>
    <n v="2"/>
    <s v="None"/>
    <x v="0"/>
    <s v="Advanced Training"/>
  </r>
  <r>
    <n v="9834"/>
    <s v="Thomas Kramer"/>
    <x v="1"/>
    <x v="3"/>
    <x v="2"/>
    <x v="1"/>
    <x v="1"/>
    <x v="4"/>
    <s v="Tristan Mejia"/>
    <s v="2022-11-20"/>
    <x v="0"/>
    <x v="2"/>
    <n v="32877"/>
    <s v="C"/>
    <n v="6432"/>
    <s v="Health"/>
    <n v="11"/>
    <n v="1"/>
    <s v="None"/>
    <x v="0"/>
    <s v="None"/>
  </r>
  <r>
    <n v="5096"/>
    <s v="Kevin Whitaker"/>
    <x v="1"/>
    <x v="18"/>
    <x v="2"/>
    <x v="1"/>
    <x v="4"/>
    <x v="3"/>
    <s v="Mary Welch"/>
    <s v="2021-03-02"/>
    <x v="0"/>
    <x v="1"/>
    <n v="46811"/>
    <s v="D"/>
    <n v="1567"/>
    <s v="None"/>
    <n v="7"/>
    <n v="3"/>
    <s v="Excel Workshop"/>
    <x v="0"/>
    <s v="Advanced Training"/>
  </r>
  <r>
    <n v="2263"/>
    <s v="Dustin Carter"/>
    <x v="1"/>
    <x v="19"/>
    <x v="1"/>
    <x v="3"/>
    <x v="2"/>
    <x v="1"/>
    <s v="Douglas Miles"/>
    <s v="2021-08-01"/>
    <x v="1"/>
    <x v="1"/>
    <n v="87538"/>
    <s v="C"/>
    <n v="3588"/>
    <s v="Health + Dental"/>
    <n v="11"/>
    <n v="5"/>
    <s v="Excel Workshop"/>
    <x v="2"/>
    <s v="None"/>
  </r>
  <r>
    <n v="6505"/>
    <s v="Nicole Williamson"/>
    <x v="0"/>
    <x v="5"/>
    <x v="1"/>
    <x v="0"/>
    <x v="1"/>
    <x v="4"/>
    <s v="Jessica Fleming"/>
    <s v="2015-08-14"/>
    <x v="0"/>
    <x v="1"/>
    <n v="73002"/>
    <s v="C"/>
    <n v="6296"/>
    <s v="Health"/>
    <n v="2"/>
    <n v="5"/>
    <s v="Excel Workshop"/>
    <x v="1"/>
    <s v="Certified Professional"/>
  </r>
  <r>
    <n v="8626"/>
    <s v="Matthew Knight"/>
    <x v="1"/>
    <x v="20"/>
    <x v="2"/>
    <x v="3"/>
    <x v="1"/>
    <x v="3"/>
    <s v="Christine Lee"/>
    <s v="2015-10-21"/>
    <x v="2"/>
    <x v="2"/>
    <n v="41653"/>
    <s v="D"/>
    <n v="9236"/>
    <s v="None"/>
    <n v="13"/>
    <n v="1"/>
    <s v="Excel Workshop"/>
    <x v="0"/>
    <s v="None"/>
  </r>
  <r>
    <n v="5979"/>
    <s v="Donna Jones"/>
    <x v="0"/>
    <x v="19"/>
    <x v="1"/>
    <x v="0"/>
    <x v="0"/>
    <x v="2"/>
    <s v="Mario Smith DVM"/>
    <s v="2015-03-14"/>
    <x v="1"/>
    <x v="1"/>
    <n v="67582"/>
    <s v="A"/>
    <n v="1375"/>
    <s v="Health"/>
    <n v="20"/>
    <n v="3"/>
    <s v="Excel Workshop"/>
    <x v="1"/>
    <s v="None"/>
  </r>
  <r>
    <n v="3104"/>
    <s v="Carolyn Bullock"/>
    <x v="0"/>
    <x v="10"/>
    <x v="0"/>
    <x v="3"/>
    <x v="1"/>
    <x v="1"/>
    <s v="Joseph Francis"/>
    <s v="2024-05-22"/>
    <x v="2"/>
    <x v="1"/>
    <n v="37351"/>
    <s v="D"/>
    <n v="7858"/>
    <s v="Health + Dental"/>
    <n v="18"/>
    <n v="2"/>
    <s v="Leadership Training"/>
    <x v="1"/>
    <s v="Advanced Training"/>
  </r>
  <r>
    <n v="8967"/>
    <s v="Wendy Gomez"/>
    <x v="0"/>
    <x v="21"/>
    <x v="4"/>
    <x v="4"/>
    <x v="2"/>
    <x v="0"/>
    <s v="Sarah Young"/>
    <s v="2017-03-19"/>
    <x v="0"/>
    <x v="1"/>
    <n v="36721"/>
    <s v="B"/>
    <n v="8820"/>
    <s v="Health + Dental"/>
    <n v="0"/>
    <n v="2"/>
    <s v="Excel Workshop"/>
    <x v="1"/>
    <s v="Certified Professional"/>
  </r>
  <r>
    <n v="5087"/>
    <s v="Michael Thomas"/>
    <x v="1"/>
    <x v="5"/>
    <x v="1"/>
    <x v="2"/>
    <x v="4"/>
    <x v="0"/>
    <s v="Aaron Hart"/>
    <s v="2021-09-15"/>
    <x v="1"/>
    <x v="2"/>
    <n v="46326"/>
    <s v="B"/>
    <n v="9189"/>
    <s v="Health + Dental"/>
    <n v="8"/>
    <n v="4"/>
    <s v="Leadership Training"/>
    <x v="3"/>
    <s v="Advanced Training"/>
  </r>
  <r>
    <n v="3358"/>
    <s v="Kevin Bell"/>
    <x v="1"/>
    <x v="11"/>
    <x v="1"/>
    <x v="1"/>
    <x v="3"/>
    <x v="1"/>
    <s v="Brian Boyd"/>
    <s v="2022-05-09"/>
    <x v="0"/>
    <x v="0"/>
    <n v="59007"/>
    <s v="C"/>
    <n v="3380"/>
    <s v="Health"/>
    <n v="17"/>
    <n v="3"/>
    <s v="None"/>
    <x v="4"/>
    <s v="Certified Professional"/>
  </r>
  <r>
    <n v="8256"/>
    <s v="Richard Landry"/>
    <x v="1"/>
    <x v="14"/>
    <x v="4"/>
    <x v="3"/>
    <x v="0"/>
    <x v="3"/>
    <s v="Steven Krueger"/>
    <s v="2017-06-22"/>
    <x v="0"/>
    <x v="1"/>
    <n v="52020"/>
    <s v="B"/>
    <n v="9585"/>
    <s v="Health + Dental"/>
    <n v="0"/>
    <n v="4"/>
    <s v="Excel Workshop"/>
    <x v="4"/>
    <s v="None"/>
  </r>
  <r>
    <n v="5763"/>
    <s v="George Hurley"/>
    <x v="1"/>
    <x v="8"/>
    <x v="2"/>
    <x v="1"/>
    <x v="2"/>
    <x v="1"/>
    <s v="Debra Williams"/>
    <s v="2020-11-28"/>
    <x v="2"/>
    <x v="1"/>
    <n v="98961"/>
    <s v="D"/>
    <n v="2688"/>
    <s v="Health"/>
    <n v="2"/>
    <n v="5"/>
    <s v="Excel Workshop"/>
    <x v="4"/>
    <s v="Certified Professional"/>
  </r>
  <r>
    <n v="6838"/>
    <s v="Mark Lopez"/>
    <x v="1"/>
    <x v="22"/>
    <x v="2"/>
    <x v="2"/>
    <x v="3"/>
    <x v="2"/>
    <s v="Karen Mitchell"/>
    <s v="2015-08-30"/>
    <x v="2"/>
    <x v="1"/>
    <n v="81943"/>
    <s v="C"/>
    <n v="2255"/>
    <s v="Health"/>
    <n v="18"/>
    <n v="2"/>
    <s v="None"/>
    <x v="2"/>
    <s v="Certified Professional"/>
  </r>
  <r>
    <n v="9544"/>
    <s v="Robert Williams"/>
    <x v="1"/>
    <x v="23"/>
    <x v="4"/>
    <x v="4"/>
    <x v="2"/>
    <x v="1"/>
    <s v="Joseph Sanders"/>
    <s v="2018-10-27"/>
    <x v="2"/>
    <x v="1"/>
    <n v="47627"/>
    <s v="C"/>
    <n v="1221"/>
    <s v="None"/>
    <n v="4"/>
    <n v="3"/>
    <s v="None"/>
    <x v="1"/>
    <s v="None"/>
  </r>
  <r>
    <n v="8012"/>
    <s v="Mary Schmidt"/>
    <x v="0"/>
    <x v="23"/>
    <x v="4"/>
    <x v="0"/>
    <x v="0"/>
    <x v="4"/>
    <s v="Shelly George"/>
    <s v="2018-08-26"/>
    <x v="2"/>
    <x v="1"/>
    <n v="56162"/>
    <s v="D"/>
    <n v="6560"/>
    <s v="Health + Dental"/>
    <n v="9"/>
    <n v="4"/>
    <s v="Excel Workshop"/>
    <x v="3"/>
    <s v="None"/>
  </r>
  <r>
    <n v="9374"/>
    <s v="Mary Martinez"/>
    <x v="0"/>
    <x v="24"/>
    <x v="2"/>
    <x v="1"/>
    <x v="2"/>
    <x v="2"/>
    <s v="Nicole Houston"/>
    <s v="2023-07-24"/>
    <x v="1"/>
    <x v="2"/>
    <n v="95734"/>
    <s v="C"/>
    <n v="4854"/>
    <s v="Health"/>
    <n v="13"/>
    <n v="2"/>
    <s v="Leadership Training"/>
    <x v="0"/>
    <s v="Certified Professional"/>
  </r>
  <r>
    <n v="3487"/>
    <s v="Paul Hall"/>
    <x v="1"/>
    <x v="7"/>
    <x v="3"/>
    <x v="1"/>
    <x v="1"/>
    <x v="3"/>
    <s v="Kristin Shaffer"/>
    <s v="2018-07-09"/>
    <x v="1"/>
    <x v="2"/>
    <n v="74789"/>
    <s v="C"/>
    <n v="8101"/>
    <s v="Health + Dental"/>
    <n v="14"/>
    <n v="5"/>
    <s v="Excel Workshop"/>
    <x v="2"/>
    <s v="None"/>
  </r>
  <r>
    <n v="8445"/>
    <s v="Samantha Foster"/>
    <x v="0"/>
    <x v="16"/>
    <x v="0"/>
    <x v="4"/>
    <x v="0"/>
    <x v="3"/>
    <s v="Joel Aguilar"/>
    <s v="2016-12-21"/>
    <x v="0"/>
    <x v="2"/>
    <n v="30137"/>
    <s v="B"/>
    <n v="4031"/>
    <s v="None"/>
    <n v="5"/>
    <n v="3"/>
    <s v="None"/>
    <x v="1"/>
    <s v="Certified Professional"/>
  </r>
  <r>
    <n v="1550"/>
    <s v="Timothy Aguilar"/>
    <x v="1"/>
    <x v="25"/>
    <x v="0"/>
    <x v="1"/>
    <x v="0"/>
    <x v="0"/>
    <s v="Michael Wade"/>
    <s v="2019-06-27"/>
    <x v="0"/>
    <x v="2"/>
    <n v="95510"/>
    <s v="C"/>
    <n v="6811"/>
    <s v="Health"/>
    <n v="18"/>
    <n v="4"/>
    <s v="Excel Workshop"/>
    <x v="4"/>
    <s v="Certified Professional"/>
  </r>
  <r>
    <n v="9968"/>
    <s v="Charles Andrews"/>
    <x v="1"/>
    <x v="7"/>
    <x v="3"/>
    <x v="1"/>
    <x v="3"/>
    <x v="0"/>
    <s v="Jessica Walsh"/>
    <s v="2021-08-27"/>
    <x v="1"/>
    <x v="0"/>
    <n v="80325"/>
    <s v="B"/>
    <n v="6230"/>
    <s v="Health"/>
    <n v="5"/>
    <n v="4"/>
    <s v="None"/>
    <x v="2"/>
    <s v="Advanced Training"/>
  </r>
  <r>
    <n v="8029"/>
    <s v="Veronica Nelson"/>
    <x v="0"/>
    <x v="15"/>
    <x v="3"/>
    <x v="3"/>
    <x v="4"/>
    <x v="4"/>
    <s v="Kelly Mack"/>
    <s v="2017-05-28"/>
    <x v="2"/>
    <x v="1"/>
    <n v="34109"/>
    <s v="B"/>
    <n v="9232"/>
    <s v="Health"/>
    <n v="13"/>
    <n v="3"/>
    <s v="Leadership Training"/>
    <x v="0"/>
    <s v="Certified Professional"/>
  </r>
  <r>
    <n v="8847"/>
    <s v="Chris Sanchez"/>
    <x v="1"/>
    <x v="3"/>
    <x v="2"/>
    <x v="3"/>
    <x v="3"/>
    <x v="0"/>
    <s v="John Conley"/>
    <s v="2022-01-30"/>
    <x v="2"/>
    <x v="2"/>
    <n v="73330"/>
    <s v="C"/>
    <n v="2276"/>
    <s v="Health + Dental"/>
    <n v="5"/>
    <n v="1"/>
    <s v="None"/>
    <x v="1"/>
    <s v="Advanced Training"/>
  </r>
  <r>
    <n v="1955"/>
    <s v="Cassie Galvan"/>
    <x v="0"/>
    <x v="7"/>
    <x v="3"/>
    <x v="2"/>
    <x v="2"/>
    <x v="1"/>
    <s v="Aaron Baker"/>
    <s v="2017-04-20"/>
    <x v="1"/>
    <x v="2"/>
    <n v="46567"/>
    <s v="A"/>
    <n v="2825"/>
    <s v="Health"/>
    <n v="15"/>
    <n v="3"/>
    <s v="None"/>
    <x v="4"/>
    <s v="Advanced Training"/>
  </r>
  <r>
    <n v="4522"/>
    <s v="Jessica Jones"/>
    <x v="0"/>
    <x v="18"/>
    <x v="2"/>
    <x v="0"/>
    <x v="4"/>
    <x v="0"/>
    <s v="Christopher Bass"/>
    <s v="2019-07-22"/>
    <x v="1"/>
    <x v="1"/>
    <n v="39795"/>
    <s v="A"/>
    <n v="1670"/>
    <s v="None"/>
    <n v="0"/>
    <n v="2"/>
    <s v="Excel Workshop"/>
    <x v="3"/>
    <s v="None"/>
  </r>
  <r>
    <n v="3078"/>
    <s v="Emily Walker"/>
    <x v="0"/>
    <x v="25"/>
    <x v="0"/>
    <x v="0"/>
    <x v="0"/>
    <x v="4"/>
    <s v="Sean Tucker PhD"/>
    <s v="2018-11-29"/>
    <x v="1"/>
    <x v="2"/>
    <n v="59506"/>
    <s v="A"/>
    <n v="4428"/>
    <s v="Health + Dental"/>
    <n v="0"/>
    <n v="1"/>
    <s v="None"/>
    <x v="3"/>
    <s v="Certified Professional"/>
  </r>
  <r>
    <n v="6357"/>
    <s v="Vickie Lewis"/>
    <x v="0"/>
    <x v="14"/>
    <x v="4"/>
    <x v="2"/>
    <x v="1"/>
    <x v="4"/>
    <s v="Jacob Scott"/>
    <s v="2022-11-14"/>
    <x v="1"/>
    <x v="2"/>
    <n v="49058"/>
    <s v="B"/>
    <n v="4396"/>
    <s v="None"/>
    <n v="5"/>
    <n v="1"/>
    <s v="None"/>
    <x v="3"/>
    <s v="None"/>
  </r>
  <r>
    <n v="7951"/>
    <s v="Alexis Clark"/>
    <x v="0"/>
    <x v="18"/>
    <x v="2"/>
    <x v="3"/>
    <x v="2"/>
    <x v="4"/>
    <s v="Joel Park"/>
    <s v="2016-02-23"/>
    <x v="1"/>
    <x v="0"/>
    <n v="98612"/>
    <s v="A"/>
    <n v="1168"/>
    <s v="None"/>
    <n v="9"/>
    <n v="2"/>
    <s v="Excel Workshop"/>
    <x v="0"/>
    <s v="Certified Professional"/>
  </r>
  <r>
    <n v="9228"/>
    <s v="Robert Davis"/>
    <x v="1"/>
    <x v="3"/>
    <x v="2"/>
    <x v="4"/>
    <x v="3"/>
    <x v="1"/>
    <s v="Russell Marshall"/>
    <s v="2018-05-18"/>
    <x v="2"/>
    <x v="1"/>
    <n v="38201"/>
    <s v="A"/>
    <n v="7111"/>
    <s v="Health"/>
    <n v="8"/>
    <n v="4"/>
    <s v="Leadership Training"/>
    <x v="3"/>
    <s v="None"/>
  </r>
  <r>
    <n v="8988"/>
    <s v="Daniel Brown MD"/>
    <x v="1"/>
    <x v="0"/>
    <x v="0"/>
    <x v="0"/>
    <x v="2"/>
    <x v="2"/>
    <s v="James Holden"/>
    <s v="2024-03-09"/>
    <x v="2"/>
    <x v="1"/>
    <n v="92919"/>
    <s v="D"/>
    <n v="9497"/>
    <s v="Health"/>
    <n v="7"/>
    <n v="2"/>
    <s v="None"/>
    <x v="3"/>
    <s v="Advanced Training"/>
  </r>
  <r>
    <n v="1952"/>
    <s v="Anna Payne"/>
    <x v="0"/>
    <x v="9"/>
    <x v="1"/>
    <x v="4"/>
    <x v="0"/>
    <x v="1"/>
    <s v="Thomas Murphy"/>
    <s v="2024-03-27"/>
    <x v="0"/>
    <x v="2"/>
    <n v="45188"/>
    <s v="A"/>
    <n v="9591"/>
    <s v="Health + Dental"/>
    <n v="18"/>
    <n v="3"/>
    <s v="Leadership Training"/>
    <x v="3"/>
    <s v="None"/>
  </r>
  <r>
    <n v="5760"/>
    <s v="Rhonda Pena"/>
    <x v="0"/>
    <x v="26"/>
    <x v="3"/>
    <x v="2"/>
    <x v="1"/>
    <x v="0"/>
    <s v="Mark Abbott"/>
    <s v="2019-12-23"/>
    <x v="0"/>
    <x v="1"/>
    <n v="34927"/>
    <s v="D"/>
    <n v="6996"/>
    <s v="Health + Dental"/>
    <n v="16"/>
    <n v="1"/>
    <s v="Excel Workshop"/>
    <x v="0"/>
    <s v="Certified Professional"/>
  </r>
  <r>
    <n v="5742"/>
    <s v="Nicole Gonzalez"/>
    <x v="0"/>
    <x v="1"/>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C57CF7-7892-41EF-9EB5-6222408D7220}" name="workplac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3:O7" firstHeaderRow="1" firstDataRow="1" firstDataCol="1"/>
  <pivotFields count="21">
    <pivotField showAll="0"/>
    <pivotField dataField="1" showAll="0"/>
    <pivotField showAll="0">
      <items count="3">
        <item x="0"/>
        <item x="1"/>
        <item t="default"/>
      </items>
    </pivotField>
    <pivotField showAll="0"/>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82CE9E-EE56-4AE7-A59C-F8F812232F26}" name="employement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CCEEAC-9858-4350-94BB-506C1CCAF2F2}"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Y3:Z9" firstHeaderRow="1" firstDataRow="1" firstDataCol="1"/>
  <pivotFields count="21">
    <pivotField showAll="0"/>
    <pivotField showAll="0"/>
    <pivotField showAll="0">
      <items count="3">
        <item x="0"/>
        <item x="1"/>
        <item t="default"/>
      </items>
    </pivotField>
    <pivotField showAll="0"/>
    <pivotField showAll="0"/>
    <pivotField showAll="0">
      <items count="6">
        <item x="1"/>
        <item x="0"/>
        <item x="4"/>
        <item x="3"/>
        <item x="2"/>
        <item t="default"/>
      </items>
    </pivotField>
    <pivotField showAll="0">
      <items count="6">
        <item x="4"/>
        <item x="1"/>
        <item x="3"/>
        <item x="2"/>
        <item x="0"/>
        <item t="default"/>
      </items>
    </pivotField>
    <pivotField axis="axisRow"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items count="6">
        <item x="3"/>
        <item x="0"/>
        <item x="4"/>
        <item x="1"/>
        <item x="2"/>
        <item t="default"/>
      </items>
    </pivotField>
    <pivotField showAll="0"/>
  </pivotFields>
  <rowFields count="1">
    <field x="7"/>
  </rowFields>
  <rowItems count="6">
    <i>
      <x/>
    </i>
    <i>
      <x v="1"/>
    </i>
    <i>
      <x v="2"/>
    </i>
    <i>
      <x v="3"/>
    </i>
    <i>
      <x v="4"/>
    </i>
    <i t="grand">
      <x/>
    </i>
  </rowItems>
  <colItems count="1">
    <i/>
  </colItems>
  <dataFields count="1">
    <dataField name="Average of Performance Rating" fld="17" subtotal="average" baseField="7" baseItem="3"/>
  </dataFields>
  <formats count="2">
    <format dxfId="44">
      <pivotArea collapsedLevelsAreSubtotals="1" fieldPosition="0">
        <references count="1">
          <reference field="7" count="0"/>
        </references>
      </pivotArea>
    </format>
    <format dxfId="4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D76494-1A9B-4B5D-86CD-C54275F74250}" name="Age range to 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3:L10" firstHeaderRow="1" firstDataRow="2" firstDataCol="1"/>
  <pivotFields count="21">
    <pivotField showAll="0"/>
    <pivotField dataField="1" showAll="0"/>
    <pivotField axis="axisCol" showAll="0">
      <items count="3">
        <item x="0"/>
        <item x="1"/>
        <item t="default"/>
      </items>
    </pivotField>
    <pivotField showAll="0">
      <items count="28">
        <item x="6"/>
        <item x="25"/>
        <item x="10"/>
        <item x="16"/>
        <item x="0"/>
        <item x="1"/>
        <item x="5"/>
        <item x="9"/>
        <item x="11"/>
        <item x="19"/>
        <item x="2"/>
        <item x="17"/>
        <item x="18"/>
        <item x="20"/>
        <item x="3"/>
        <item x="24"/>
        <item x="8"/>
        <item x="22"/>
        <item x="14"/>
        <item x="21"/>
        <item x="12"/>
        <item x="23"/>
        <item x="4"/>
        <item x="15"/>
        <item x="7"/>
        <item x="26"/>
        <item x="13"/>
        <item t="default"/>
      </items>
    </pivotField>
    <pivotField axis="axisRow" showAll="0">
      <items count="6">
        <item x="0"/>
        <item x="1"/>
        <item x="2"/>
        <item x="4"/>
        <item x="3"/>
        <item t="default"/>
      </items>
    </pivotField>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75C8CA-AE93-43EB-AEBE-9B4071D8DA79}" name="Reg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V3:W9"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6">
        <item x="3"/>
        <item x="0"/>
        <item x="4"/>
        <item x="1"/>
        <item x="2"/>
        <item t="default"/>
      </items>
    </pivotField>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1A1E8C-C4B5-45CB-B187-8F75913813D3}" name="Salari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G9"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28BC78-8AD2-473B-BCC5-EA43C680219C}" name="Skill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S3:T9" firstHeaderRow="1" firstDataRow="1" firstDataCol="1"/>
  <pivotFields count="21">
    <pivotField showAll="0"/>
    <pivotField dataField="1" showAll="0"/>
    <pivotField showAll="0">
      <items count="3">
        <item x="0"/>
        <item x="1"/>
        <item t="default"/>
      </items>
    </pivotField>
    <pivotField showAll="0"/>
    <pivotField showAll="0"/>
    <pivotField showAll="0"/>
    <pivotField showAll="0">
      <items count="6">
        <item x="4"/>
        <item x="1"/>
        <item x="3"/>
        <item x="2"/>
        <item x="0"/>
        <item t="default"/>
      </items>
    </pivotField>
    <pivotField showAll="0">
      <items count="6">
        <item x="0"/>
        <item x="1"/>
        <item x="4"/>
        <item x="2"/>
        <item x="3"/>
        <item t="default"/>
      </items>
    </pivotField>
    <pivotField showAll="0"/>
    <pivotField showAll="0"/>
    <pivotField showAll="0">
      <items count="4">
        <item x="1"/>
        <item x="0"/>
        <item x="2"/>
        <item t="default"/>
      </items>
    </pivotField>
    <pivotField showAll="0">
      <items count="4">
        <item x="1"/>
        <item x="0"/>
        <item x="2"/>
        <item t="default"/>
      </items>
    </pivotField>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AB4E08B-3C07-481C-A50E-8C7536C8D1DD}" sourceName="Gender">
  <pivotTables>
    <pivotTable tabId="3" name="PivotTable7"/>
    <pivotTable tabId="3" name="employement status"/>
    <pivotTable tabId="3" name="Region"/>
    <pivotTable tabId="3" name="Salaries"/>
    <pivotTable tabId="3" name="Skills"/>
    <pivotTable tabId="3" name="workplace"/>
  </pivotTables>
  <data>
    <tabular pivotCacheId="18540602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13A6F74-4FDF-4E5A-8A43-A30825E8224F}" sourceName="Department">
  <pivotTables>
    <pivotTable tabId="3" name="PivotTable7"/>
    <pivotTable tabId="3" name="Age range to gender"/>
    <pivotTable tabId="3" name="employement status"/>
    <pivotTable tabId="3" name="Region"/>
    <pivotTable tabId="3" name="Salaries"/>
    <pivotTable tabId="3" name="Skills"/>
    <pivotTable tabId="3" name="workplace"/>
  </pivotTables>
  <data>
    <tabular pivotCacheId="1854060271">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6A52619-939A-490B-885A-815C339070CA}" cache="Slicer_Gender" caption="Gender" columnCount="2" style="Slicer Style 1" rowHeight="241300"/>
  <slicer name="Department" xr10:uid="{35A5EAA8-1792-40D2-B7E6-56884A842B0E}" cache="Slicer_Department" caption="Department" columnCount="2" style="Slicer Style 1"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42" dataDxfId="41">
  <autoFilter ref="A1:U51" xr:uid="{BD7F130C-4931-4EC9-8AE2-A64F6556D3A3}"/>
  <tableColumns count="21">
    <tableColumn id="1" xr3:uid="{6BDBB43D-1DF4-4FF3-9C56-0E3D699A83FC}" name="Employee ID" dataDxfId="40"/>
    <tableColumn id="2" xr3:uid="{363D91B7-21AD-4B4B-86DE-95D24769EAA5}" name="Full Name" dataDxfId="39"/>
    <tableColumn id="3" xr3:uid="{728245EC-9766-45F5-9851-7FEFEFBE2652}" name="Gender" dataDxfId="38"/>
    <tableColumn id="4" xr3:uid="{DD8A90D1-163F-4B0E-A039-9E7A16AFC106}" name="Age" dataDxfId="37"/>
    <tableColumn id="5" xr3:uid="{0672993B-A00D-49AE-84B7-674089468A17}" name="Age range" dataDxfId="36"/>
    <tableColumn id="6" xr3:uid="{B1ADEE80-60F1-4EE3-B3FB-8484EE6C17B3}" name="Region" dataDxfId="35"/>
    <tableColumn id="7" xr3:uid="{8E0A56EE-3456-4513-ADA0-27F6CAA8C17B}" name="Job Title" dataDxfId="34"/>
    <tableColumn id="8" xr3:uid="{0D9D5DB9-01CB-4300-B0CD-256901621ADC}" name="Department" dataDxfId="33"/>
    <tableColumn id="9" xr3:uid="{9EBDAC3F-6A39-4A78-B562-848691EE3AD1}" name="Manager/Supervisor" dataDxfId="32"/>
    <tableColumn id="10" xr3:uid="{AF849F24-150A-4123-B3F8-A46B4D4F7BC6}" name="Date of Hire" dataDxfId="31"/>
    <tableColumn id="11" xr3:uid="{8C57202E-334A-462A-9C44-E5E2468122E4}" name="Employment Status" dataDxfId="30"/>
    <tableColumn id="12" xr3:uid="{8A07812C-245C-4D55-A210-3AE7E0BB84EB}" name="Work Location" dataDxfId="29"/>
    <tableColumn id="13" xr3:uid="{6441036C-01DD-4130-8E4B-DBA441BCB744}" name="Salary" dataDxfId="28"/>
    <tableColumn id="14" xr3:uid="{ADCF531A-A98E-422C-939D-04D58C2423FB}" name="Pay Grade" dataDxfId="27"/>
    <tableColumn id="15" xr3:uid="{DE922695-AE31-4F31-8F89-61E6E7E646AB}" name="Bonus/Allowances" dataDxfId="26"/>
    <tableColumn id="16" xr3:uid="{62F2B816-9954-4A01-AEDC-4C13B3A2A52F}" name="Insurance Details" dataDxfId="25"/>
    <tableColumn id="17" xr3:uid="{6EFEC335-9B75-45D5-B403-A8A9E557BE24}" name="Leave Taken" dataDxfId="24"/>
    <tableColumn id="18" xr3:uid="{9DA1B78E-154E-42E4-A1BC-FE1CF363DCBA}" name="Performance Rating" dataDxfId="23"/>
    <tableColumn id="19" xr3:uid="{7E4B5E79-5639-4E3A-91A1-D1D8767BB705}" name="Training Programs Attended" dataDxfId="22"/>
    <tableColumn id="20" xr3:uid="{2E731344-8C6D-4001-9E36-F16B80500F61}" name="Skills" dataDxfId="21"/>
    <tableColumn id="21" xr3:uid="{9DCE550B-F788-4423-B330-CAB70C041DFC}" name="Certifications" dataDxfId="2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732D4-B752-4B3A-AD99-20332B998263}">
  <dimension ref="A1:Z16"/>
  <sheetViews>
    <sheetView topLeftCell="M1" workbookViewId="0">
      <selection sqref="A1:C1"/>
    </sheetView>
  </sheetViews>
  <sheetFormatPr defaultRowHeight="14.25"/>
  <cols>
    <col min="1" max="1" width="13.125" bestFit="1" customWidth="1"/>
    <col min="2" max="2" width="18" bestFit="1" customWidth="1"/>
    <col min="3" max="3" width="5.125" customWidth="1"/>
    <col min="4" max="4" width="5.5" customWidth="1"/>
    <col min="5" max="5" width="13.125" bestFit="1" customWidth="1"/>
    <col min="6" max="6" width="13" bestFit="1" customWidth="1"/>
    <col min="7" max="7" width="19.25" bestFit="1" customWidth="1"/>
    <col min="8" max="8" width="5.5" customWidth="1"/>
    <col min="9" max="9" width="18" bestFit="1" customWidth="1"/>
    <col min="10" max="10" width="16.125" bestFit="1" customWidth="1"/>
    <col min="11" max="11" width="5.125" bestFit="1" customWidth="1"/>
    <col min="12" max="12" width="11.375" bestFit="1" customWidth="1"/>
    <col min="13" max="13" width="2.875" bestFit="1" customWidth="1"/>
    <col min="14" max="14" width="13.125" bestFit="1" customWidth="1"/>
    <col min="15" max="15" width="18" bestFit="1" customWidth="1"/>
    <col min="16" max="16" width="7.375" customWidth="1"/>
    <col min="17" max="17" width="9.75" customWidth="1"/>
    <col min="18" max="18" width="2.875" bestFit="1" customWidth="1"/>
    <col min="19" max="19" width="13.875" bestFit="1" customWidth="1"/>
    <col min="20" max="20" width="18" bestFit="1" customWidth="1"/>
    <col min="21" max="21" width="4.875" customWidth="1"/>
    <col min="22" max="22" width="13.125" bestFit="1" customWidth="1"/>
    <col min="23" max="23" width="18" bestFit="1" customWidth="1"/>
    <col min="24" max="24" width="2.875" bestFit="1" customWidth="1"/>
    <col min="25" max="25" width="13.125" bestFit="1" customWidth="1"/>
    <col min="26" max="26" width="29.125" bestFit="1" customWidth="1"/>
    <col min="27" max="36" width="2.875" bestFit="1" customWidth="1"/>
    <col min="37" max="37" width="11.375" bestFit="1" customWidth="1"/>
  </cols>
  <sheetData>
    <row r="1" spans="1:26" ht="15">
      <c r="A1" s="14" t="s">
        <v>217</v>
      </c>
      <c r="B1" s="14"/>
      <c r="C1" s="14"/>
      <c r="D1" s="8"/>
      <c r="E1" s="16" t="s">
        <v>220</v>
      </c>
      <c r="F1" s="16"/>
      <c r="G1" s="9"/>
      <c r="I1" s="15" t="s">
        <v>222</v>
      </c>
      <c r="J1" s="15"/>
      <c r="N1" s="15" t="s">
        <v>224</v>
      </c>
      <c r="O1" s="15"/>
      <c r="S1" s="15" t="s">
        <v>19</v>
      </c>
      <c r="T1" s="15"/>
      <c r="V1" s="15" t="s">
        <v>5</v>
      </c>
      <c r="W1" s="15"/>
      <c r="Y1" s="15" t="s">
        <v>7</v>
      </c>
      <c r="Z1" s="15"/>
    </row>
    <row r="3" spans="1:26">
      <c r="A3" s="6" t="s">
        <v>215</v>
      </c>
      <c r="B3" t="s">
        <v>214</v>
      </c>
      <c r="E3" s="6" t="s">
        <v>215</v>
      </c>
      <c r="F3" t="s">
        <v>219</v>
      </c>
      <c r="G3" t="s">
        <v>225</v>
      </c>
      <c r="I3" s="6" t="s">
        <v>214</v>
      </c>
      <c r="J3" s="6" t="s">
        <v>221</v>
      </c>
      <c r="N3" s="6" t="s">
        <v>215</v>
      </c>
      <c r="O3" t="s">
        <v>214</v>
      </c>
      <c r="S3" s="6" t="s">
        <v>215</v>
      </c>
      <c r="T3" t="s">
        <v>214</v>
      </c>
      <c r="V3" s="6" t="s">
        <v>215</v>
      </c>
      <c r="W3" t="s">
        <v>214</v>
      </c>
      <c r="Y3" s="6" t="s">
        <v>215</v>
      </c>
      <c r="Z3" t="s">
        <v>226</v>
      </c>
    </row>
    <row r="4" spans="1:26">
      <c r="A4" s="7" t="s">
        <v>63</v>
      </c>
      <c r="B4" s="5">
        <v>17</v>
      </c>
      <c r="E4" s="7" t="s">
        <v>121</v>
      </c>
      <c r="F4" s="5">
        <v>167041</v>
      </c>
      <c r="G4" s="5">
        <v>28</v>
      </c>
      <c r="I4" s="6" t="s">
        <v>215</v>
      </c>
      <c r="J4" t="s">
        <v>22</v>
      </c>
      <c r="K4" t="s">
        <v>37</v>
      </c>
      <c r="L4" t="s">
        <v>216</v>
      </c>
      <c r="N4" s="7" t="s">
        <v>44</v>
      </c>
      <c r="O4" s="5">
        <v>23</v>
      </c>
      <c r="S4" s="7" t="s">
        <v>75</v>
      </c>
      <c r="T4" s="5">
        <v>12</v>
      </c>
      <c r="V4" s="7" t="s">
        <v>39</v>
      </c>
      <c r="W4" s="5">
        <v>14</v>
      </c>
      <c r="Y4" s="7" t="s">
        <v>26</v>
      </c>
      <c r="Z4" s="13">
        <v>2.5833333333333335</v>
      </c>
    </row>
    <row r="5" spans="1:26">
      <c r="A5" s="7" t="s">
        <v>29</v>
      </c>
      <c r="B5" s="5">
        <v>20</v>
      </c>
      <c r="E5" s="7" t="s">
        <v>40</v>
      </c>
      <c r="F5" s="5">
        <v>613842</v>
      </c>
      <c r="G5" s="5">
        <v>110</v>
      </c>
      <c r="I5" s="7" t="s">
        <v>23</v>
      </c>
      <c r="J5" s="5">
        <v>6</v>
      </c>
      <c r="K5" s="5">
        <v>3</v>
      </c>
      <c r="L5" s="5">
        <v>9</v>
      </c>
      <c r="N5" s="7" t="s">
        <v>30</v>
      </c>
      <c r="O5" s="5">
        <v>8</v>
      </c>
      <c r="S5" s="7" t="s">
        <v>34</v>
      </c>
      <c r="T5" s="5">
        <v>11</v>
      </c>
      <c r="V5" s="7" t="s">
        <v>24</v>
      </c>
      <c r="W5" s="5">
        <v>10</v>
      </c>
      <c r="Y5" s="7" t="s">
        <v>41</v>
      </c>
      <c r="Z5" s="13">
        <v>3.3</v>
      </c>
    </row>
    <row r="6" spans="1:26">
      <c r="A6" s="7" t="s">
        <v>111</v>
      </c>
      <c r="B6" s="5">
        <v>13</v>
      </c>
      <c r="E6" s="7" t="s">
        <v>72</v>
      </c>
      <c r="F6" s="5">
        <v>633594</v>
      </c>
      <c r="G6" s="5">
        <v>104</v>
      </c>
      <c r="I6" s="7" t="s">
        <v>38</v>
      </c>
      <c r="J6" s="5">
        <v>7</v>
      </c>
      <c r="K6" s="5">
        <v>6</v>
      </c>
      <c r="L6" s="5">
        <v>13</v>
      </c>
      <c r="N6" s="7" t="s">
        <v>54</v>
      </c>
      <c r="O6" s="5">
        <v>19</v>
      </c>
      <c r="S6" s="7" t="s">
        <v>96</v>
      </c>
      <c r="T6" s="5">
        <v>7</v>
      </c>
      <c r="V6" s="7" t="s">
        <v>102</v>
      </c>
      <c r="W6" s="5">
        <v>7</v>
      </c>
      <c r="Y6" s="7" t="s">
        <v>81</v>
      </c>
      <c r="Z6" s="13">
        <v>2.25</v>
      </c>
    </row>
    <row r="7" spans="1:26">
      <c r="A7" s="7" t="s">
        <v>216</v>
      </c>
      <c r="B7" s="5">
        <v>50</v>
      </c>
      <c r="E7" s="7" t="s">
        <v>50</v>
      </c>
      <c r="F7" s="5">
        <v>959266</v>
      </c>
      <c r="G7" s="5">
        <v>123</v>
      </c>
      <c r="I7" s="7" t="s">
        <v>59</v>
      </c>
      <c r="J7" s="5">
        <v>5</v>
      </c>
      <c r="K7" s="5">
        <v>7</v>
      </c>
      <c r="L7" s="5">
        <v>12</v>
      </c>
      <c r="N7" s="7" t="s">
        <v>216</v>
      </c>
      <c r="O7" s="5">
        <v>50</v>
      </c>
      <c r="S7" s="7" t="s">
        <v>56</v>
      </c>
      <c r="T7" s="5">
        <v>11</v>
      </c>
      <c r="V7" s="7" t="s">
        <v>80</v>
      </c>
      <c r="W7" s="5">
        <v>10</v>
      </c>
      <c r="Y7" s="7" t="s">
        <v>51</v>
      </c>
      <c r="Z7" s="13">
        <v>2.3636363636363638</v>
      </c>
    </row>
    <row r="8" spans="1:26">
      <c r="E8" s="7" t="s">
        <v>25</v>
      </c>
      <c r="F8" s="5">
        <v>731170</v>
      </c>
      <c r="G8" s="5">
        <v>122</v>
      </c>
      <c r="I8" s="7" t="s">
        <v>98</v>
      </c>
      <c r="J8" s="5">
        <v>4</v>
      </c>
      <c r="K8" s="5">
        <v>3</v>
      </c>
      <c r="L8" s="5">
        <v>7</v>
      </c>
      <c r="S8" s="7" t="s">
        <v>66</v>
      </c>
      <c r="T8" s="5">
        <v>9</v>
      </c>
      <c r="V8" s="7" t="s">
        <v>49</v>
      </c>
      <c r="W8" s="5">
        <v>9</v>
      </c>
      <c r="Y8" s="7" t="s">
        <v>60</v>
      </c>
      <c r="Z8" s="13">
        <v>2.5555555555555554</v>
      </c>
    </row>
    <row r="9" spans="1:26">
      <c r="A9" s="7" t="s">
        <v>63</v>
      </c>
      <c r="B9">
        <f>IFERROR(GETPIVOTDATA("Full Name",$A$3,"Employment Status","Contract"),"0")</f>
        <v>17</v>
      </c>
      <c r="E9" s="7" t="s">
        <v>216</v>
      </c>
      <c r="F9" s="5">
        <v>3104913</v>
      </c>
      <c r="G9" s="5">
        <v>487</v>
      </c>
      <c r="I9" s="7" t="s">
        <v>68</v>
      </c>
      <c r="J9" s="5">
        <v>4</v>
      </c>
      <c r="K9" s="5">
        <v>5</v>
      </c>
      <c r="L9" s="5">
        <v>9</v>
      </c>
      <c r="S9" s="7" t="s">
        <v>216</v>
      </c>
      <c r="T9" s="5">
        <v>50</v>
      </c>
      <c r="V9" s="7" t="s">
        <v>216</v>
      </c>
      <c r="W9" s="5">
        <v>50</v>
      </c>
      <c r="Y9" s="7" t="s">
        <v>216</v>
      </c>
      <c r="Z9" s="13">
        <v>2.62</v>
      </c>
    </row>
    <row r="10" spans="1:26">
      <c r="A10" s="7" t="s">
        <v>29</v>
      </c>
      <c r="B10">
        <f>IFERROR(GETPIVOTDATA("Full Name",$A$3,"Employment Status","Full-Time"),"0")</f>
        <v>20</v>
      </c>
      <c r="I10" s="7" t="s">
        <v>216</v>
      </c>
      <c r="J10" s="5">
        <v>26</v>
      </c>
      <c r="K10" s="5">
        <v>24</v>
      </c>
      <c r="L10" s="5">
        <v>50</v>
      </c>
      <c r="N10" s="7" t="s">
        <v>44</v>
      </c>
      <c r="O10" s="5">
        <v>23</v>
      </c>
      <c r="P10" s="11">
        <f t="shared" ref="P10:P12" si="0">SUM(O10)/SUM($O$10:$O$12)</f>
        <v>0.46</v>
      </c>
      <c r="Q10" s="12">
        <f>1-P10</f>
        <v>0.54</v>
      </c>
    </row>
    <row r="11" spans="1:26">
      <c r="A11" s="7" t="s">
        <v>111</v>
      </c>
      <c r="B11">
        <f>IFERROR(GETPIVOTDATA("Full Name",$A$3,"Employment Status","Part-Time"),"0")</f>
        <v>13</v>
      </c>
      <c r="E11" s="7" t="s">
        <v>121</v>
      </c>
      <c r="F11">
        <f>IFERROR(GETPIVOTDATA("Salary",$E$3,"Job Title","Analyst"),"0")</f>
        <v>167041</v>
      </c>
      <c r="G11" s="5">
        <v>28</v>
      </c>
      <c r="N11" s="7" t="s">
        <v>30</v>
      </c>
      <c r="O11" s="5">
        <v>8</v>
      </c>
      <c r="P11" s="11">
        <f t="shared" si="0"/>
        <v>0.16</v>
      </c>
      <c r="Q11" s="12">
        <f t="shared" ref="Q11:Q12" si="1">1-P11</f>
        <v>0.84</v>
      </c>
    </row>
    <row r="12" spans="1:26">
      <c r="A12" s="7" t="s">
        <v>218</v>
      </c>
      <c r="B12">
        <f>SUM(B9:B11)</f>
        <v>50</v>
      </c>
      <c r="E12" s="7" t="s">
        <v>40</v>
      </c>
      <c r="F12">
        <f>IFERROR(GETPIVOTDATA("Salary",$E$3,"Job Title","Designer"),"0")</f>
        <v>613842</v>
      </c>
      <c r="G12" s="5">
        <v>110</v>
      </c>
      <c r="N12" s="7" t="s">
        <v>54</v>
      </c>
      <c r="O12" s="5">
        <v>19</v>
      </c>
      <c r="P12" s="11">
        <f t="shared" si="0"/>
        <v>0.38</v>
      </c>
      <c r="Q12" s="12">
        <f t="shared" si="1"/>
        <v>0.62</v>
      </c>
    </row>
    <row r="13" spans="1:26">
      <c r="E13" s="7" t="s">
        <v>72</v>
      </c>
      <c r="F13">
        <f>IFERROR(GETPIVOTDATA("Salary",$E$3,"Job Title","Developer"),"0")</f>
        <v>633594</v>
      </c>
      <c r="G13" s="5">
        <v>104</v>
      </c>
      <c r="I13" s="7" t="s">
        <v>223</v>
      </c>
      <c r="J13">
        <f>IFERROR(GETPIVOTDATA("Full Name",$I$3:$I$3,"Gender","Female"),"0")</f>
        <v>26</v>
      </c>
      <c r="K13" s="11">
        <f t="shared" ref="K13:K14" si="2">SUM(J13)/SUM($J$13:$J$14)</f>
        <v>0.52</v>
      </c>
    </row>
    <row r="14" spans="1:26">
      <c r="E14" s="7" t="s">
        <v>50</v>
      </c>
      <c r="F14">
        <f>IFERROR(GETPIVOTDATA("Salary",$E$3,"Job Title","HR Specialist"),"0")</f>
        <v>959266</v>
      </c>
      <c r="G14" s="5">
        <v>123</v>
      </c>
      <c r="I14" s="7" t="s">
        <v>37</v>
      </c>
      <c r="J14">
        <f>IFERROR(GETPIVOTDATA("Full Name",$I$3,"Gender","Male"),"0")</f>
        <v>24</v>
      </c>
      <c r="K14" s="11">
        <f t="shared" si="2"/>
        <v>0.48</v>
      </c>
    </row>
    <row r="15" spans="1:26">
      <c r="E15" s="7" t="s">
        <v>25</v>
      </c>
      <c r="F15">
        <f>IFERROR(GETPIVOTDATA("Salary",$E$3,"Job Title","Manager"),"0")</f>
        <v>731170</v>
      </c>
      <c r="G15" s="5">
        <v>122</v>
      </c>
      <c r="I15" s="7" t="s">
        <v>218</v>
      </c>
      <c r="J15">
        <f>SUM(J13:J14)</f>
        <v>50</v>
      </c>
    </row>
    <row r="16" spans="1:26" ht="15">
      <c r="E16" s="7" t="s">
        <v>218</v>
      </c>
      <c r="F16">
        <f>SUM(F11:F15)</f>
        <v>3104913</v>
      </c>
      <c r="G16" s="10">
        <v>487</v>
      </c>
    </row>
  </sheetData>
  <mergeCells count="6">
    <mergeCell ref="V1:W1"/>
    <mergeCell ref="Y1:Z1"/>
    <mergeCell ref="E1:F1"/>
    <mergeCell ref="I1:J1"/>
    <mergeCell ref="N1:O1"/>
    <mergeCell ref="S1:T1"/>
  </mergeCell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A2" workbookViewId="0">
      <selection activeCell="A6" sqref="A2:U51"/>
    </sheetView>
  </sheetViews>
  <sheetFormatPr defaultColWidth="9.125" defaultRowHeight="14.25"/>
  <cols>
    <col min="1" max="1" width="17.75" style="2" bestFit="1" customWidth="1"/>
    <col min="2" max="2" width="18.125" style="2" bestFit="1" customWidth="1"/>
    <col min="3" max="3" width="12.875" style="2" bestFit="1" customWidth="1"/>
    <col min="4" max="4" width="9.625" style="2" bestFit="1" customWidth="1"/>
    <col min="5" max="5" width="15.875" style="2" bestFit="1" customWidth="1"/>
    <col min="6" max="6" width="12.25" style="2" bestFit="1" customWidth="1"/>
    <col min="7" max="7" width="14.125" style="2" bestFit="1" customWidth="1"/>
    <col min="8" max="8" width="17.375" style="2" bestFit="1" customWidth="1"/>
    <col min="9" max="9" width="25.75" style="2" bestFit="1" customWidth="1"/>
    <col min="10" max="10" width="18" style="2" bestFit="1" customWidth="1"/>
    <col min="11" max="11" width="25" style="2" bestFit="1" customWidth="1"/>
    <col min="12" max="12" width="20.25" style="2" bestFit="1" customWidth="1"/>
    <col min="13" max="13" width="11.875" style="2" bestFit="1" customWidth="1"/>
    <col min="14" max="14" width="16.125" style="2" bestFit="1" customWidth="1"/>
    <col min="15" max="15" width="24" style="2" bestFit="1" customWidth="1"/>
    <col min="16" max="16" width="22.75" style="2" bestFit="1" customWidth="1"/>
    <col min="17" max="17" width="18.125" style="2" bestFit="1" customWidth="1"/>
    <col min="18" max="18" width="25.375" style="2" bestFit="1" customWidth="1"/>
    <col min="19" max="19" width="34" style="2" bestFit="1" customWidth="1"/>
    <col min="20" max="20" width="16" style="2" bestFit="1" customWidth="1"/>
    <col min="21" max="21" width="21.125" style="2" bestFit="1" customWidth="1"/>
    <col min="22" max="16384" width="9.12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8942-45C5-447C-AA8E-73A07F812C0D}">
  <dimension ref="A1:R58"/>
  <sheetViews>
    <sheetView showGridLines="0" tabSelected="1" workbookViewId="0">
      <selection activeCell="N17" sqref="N17"/>
    </sheetView>
  </sheetViews>
  <sheetFormatPr defaultRowHeight="14.25"/>
  <sheetData>
    <row r="1" spans="1:18">
      <c r="A1" s="4"/>
      <c r="B1" s="4"/>
      <c r="C1" s="4"/>
      <c r="D1" s="4"/>
      <c r="E1" s="4"/>
      <c r="F1" s="4"/>
      <c r="G1" s="4"/>
      <c r="H1" s="4"/>
      <c r="I1" s="4"/>
      <c r="J1" s="4"/>
      <c r="K1" s="4"/>
      <c r="L1" s="4"/>
      <c r="M1" s="4"/>
      <c r="N1" s="4"/>
      <c r="O1" s="4"/>
      <c r="P1" s="4"/>
      <c r="Q1" s="4"/>
      <c r="R1" s="4"/>
    </row>
    <row r="2" spans="1:18">
      <c r="A2" s="4"/>
      <c r="B2" s="4"/>
      <c r="C2" s="4"/>
      <c r="D2" s="4"/>
      <c r="E2" s="4"/>
      <c r="F2" s="4"/>
      <c r="G2" s="4"/>
      <c r="H2" s="4"/>
      <c r="I2" s="4"/>
      <c r="J2" s="4"/>
      <c r="K2" s="4"/>
      <c r="L2" s="4"/>
      <c r="M2" s="4"/>
      <c r="N2" s="4"/>
      <c r="O2" s="4"/>
      <c r="P2" s="4"/>
      <c r="Q2" s="4"/>
      <c r="R2" s="4"/>
    </row>
    <row r="3" spans="1:18">
      <c r="A3" s="4"/>
      <c r="B3" s="4"/>
      <c r="C3" s="4"/>
      <c r="D3" s="4"/>
      <c r="E3" s="4"/>
      <c r="F3" s="4"/>
      <c r="G3" s="4"/>
      <c r="H3" s="4"/>
      <c r="I3" s="4"/>
      <c r="J3" s="4"/>
      <c r="K3" s="4"/>
      <c r="L3" s="4"/>
      <c r="M3" s="4"/>
      <c r="N3" s="4"/>
      <c r="O3" s="4"/>
      <c r="P3" s="4"/>
      <c r="Q3" s="4"/>
      <c r="R3" s="4"/>
    </row>
    <row r="4" spans="1:18">
      <c r="A4" s="4"/>
      <c r="B4" s="4"/>
      <c r="C4" s="4"/>
      <c r="D4" s="4"/>
      <c r="E4" s="4"/>
      <c r="F4" s="4"/>
      <c r="G4" s="4"/>
      <c r="H4" s="4"/>
      <c r="I4" s="4"/>
      <c r="J4" s="4"/>
      <c r="K4" s="4"/>
      <c r="L4" s="4"/>
      <c r="M4" s="4"/>
      <c r="N4" s="4"/>
      <c r="O4" s="4"/>
      <c r="P4" s="4"/>
      <c r="Q4" s="4"/>
      <c r="R4" s="4"/>
    </row>
    <row r="5" spans="1:18">
      <c r="A5" s="4"/>
      <c r="B5" s="4"/>
      <c r="C5" s="4"/>
      <c r="D5" s="4"/>
      <c r="E5" s="4"/>
      <c r="F5" s="4"/>
      <c r="G5" s="4"/>
      <c r="H5" s="4"/>
      <c r="I5" s="4"/>
      <c r="J5" s="4"/>
      <c r="K5" s="4"/>
      <c r="L5" s="4"/>
      <c r="M5" s="4"/>
      <c r="N5" s="4"/>
      <c r="O5" s="4"/>
      <c r="P5" s="4"/>
      <c r="Q5" s="4"/>
      <c r="R5" s="4"/>
    </row>
    <row r="6" spans="1:18">
      <c r="A6" s="4"/>
      <c r="B6" s="4"/>
      <c r="C6" s="4"/>
      <c r="D6" s="4"/>
      <c r="E6" s="4"/>
      <c r="F6" s="4"/>
      <c r="G6" s="4"/>
      <c r="H6" s="4"/>
      <c r="I6" s="4"/>
      <c r="J6" s="4"/>
      <c r="K6" s="4"/>
      <c r="L6" s="4"/>
      <c r="M6" s="4"/>
      <c r="N6" s="4"/>
      <c r="O6" s="4"/>
      <c r="P6" s="4"/>
      <c r="Q6" s="4"/>
      <c r="R6" s="4"/>
    </row>
    <row r="7" spans="1:18">
      <c r="A7" s="4"/>
      <c r="B7" s="4"/>
      <c r="C7" s="4"/>
      <c r="D7" s="4"/>
      <c r="E7" s="4"/>
      <c r="F7" s="4"/>
      <c r="G7" s="4"/>
      <c r="H7" s="4"/>
      <c r="I7" s="4"/>
      <c r="J7" s="4"/>
      <c r="K7" s="4"/>
      <c r="L7" s="4"/>
      <c r="M7" s="4"/>
      <c r="N7" s="4"/>
      <c r="O7" s="4"/>
      <c r="P7" s="4"/>
      <c r="Q7" s="4"/>
      <c r="R7" s="4"/>
    </row>
    <row r="8" spans="1:18">
      <c r="A8" s="4"/>
      <c r="B8" s="4"/>
      <c r="C8" s="4"/>
      <c r="D8" s="4"/>
      <c r="E8" s="4"/>
      <c r="F8" s="4"/>
      <c r="G8" s="4"/>
      <c r="H8" s="4"/>
      <c r="I8" s="4"/>
      <c r="J8" s="4"/>
      <c r="K8" s="4"/>
      <c r="L8" s="4"/>
      <c r="M8" s="4"/>
      <c r="N8" s="4"/>
      <c r="O8" s="4"/>
      <c r="P8" s="4"/>
      <c r="Q8" s="4"/>
      <c r="R8" s="4"/>
    </row>
    <row r="9" spans="1:18">
      <c r="A9" s="4"/>
      <c r="B9" s="4"/>
      <c r="C9" s="4"/>
      <c r="D9" s="4"/>
      <c r="E9" s="4"/>
      <c r="F9" s="4"/>
      <c r="G9" s="4"/>
      <c r="H9" s="4"/>
      <c r="I9" s="4"/>
      <c r="J9" s="4"/>
      <c r="K9" s="4"/>
      <c r="L9" s="4"/>
      <c r="M9" s="4"/>
      <c r="N9" s="4"/>
      <c r="O9" s="4"/>
      <c r="P9" s="4"/>
      <c r="Q9" s="4"/>
      <c r="R9" s="4"/>
    </row>
    <row r="10" spans="1:18">
      <c r="A10" s="4"/>
      <c r="B10" s="4"/>
      <c r="C10" s="4"/>
      <c r="D10" s="4"/>
      <c r="E10" s="4"/>
      <c r="F10" s="4"/>
      <c r="G10" s="4"/>
      <c r="H10" s="4"/>
      <c r="I10" s="4"/>
      <c r="J10" s="4"/>
      <c r="K10" s="4"/>
      <c r="L10" s="4"/>
      <c r="M10" s="4"/>
      <c r="N10" s="4"/>
      <c r="O10" s="4"/>
      <c r="P10" s="4"/>
      <c r="Q10" s="4"/>
      <c r="R10" s="4"/>
    </row>
    <row r="11" spans="1:18">
      <c r="A11" s="4"/>
      <c r="B11" s="4"/>
      <c r="C11" s="4"/>
      <c r="D11" s="4"/>
      <c r="E11" s="4"/>
      <c r="F11" s="4"/>
      <c r="G11" s="4"/>
      <c r="H11" s="4"/>
      <c r="I11" s="4"/>
      <c r="J11" s="4"/>
      <c r="K11" s="4"/>
      <c r="L11" s="4"/>
      <c r="M11" s="4"/>
      <c r="N11" s="4"/>
      <c r="O11" s="4"/>
      <c r="P11" s="4"/>
      <c r="Q11" s="4"/>
      <c r="R11" s="4"/>
    </row>
    <row r="12" spans="1:18">
      <c r="A12" s="4"/>
      <c r="B12" s="4"/>
      <c r="C12" s="4"/>
      <c r="D12" s="4"/>
      <c r="E12" s="4"/>
      <c r="F12" s="4"/>
      <c r="G12" s="4"/>
      <c r="H12" s="4"/>
      <c r="I12" s="4"/>
      <c r="J12" s="4"/>
      <c r="K12" s="4"/>
      <c r="L12" s="4"/>
      <c r="M12" s="4"/>
      <c r="N12" s="4"/>
      <c r="O12" s="4"/>
      <c r="P12" s="4"/>
      <c r="Q12" s="4"/>
      <c r="R12" s="4"/>
    </row>
    <row r="13" spans="1:18">
      <c r="A13" s="4"/>
      <c r="B13" s="4"/>
      <c r="C13" s="4"/>
      <c r="D13" s="4"/>
      <c r="E13" s="4"/>
      <c r="F13" s="4"/>
      <c r="G13" s="4"/>
      <c r="H13" s="4"/>
      <c r="I13" s="4"/>
      <c r="J13" s="4"/>
      <c r="K13" s="4"/>
      <c r="L13" s="4"/>
      <c r="M13" s="4"/>
      <c r="N13" s="4"/>
      <c r="O13" s="4"/>
      <c r="P13" s="4"/>
      <c r="Q13" s="4"/>
      <c r="R13" s="4"/>
    </row>
    <row r="14" spans="1:18">
      <c r="A14" s="4"/>
      <c r="B14" s="4"/>
      <c r="C14" s="4"/>
      <c r="D14" s="4"/>
      <c r="E14" s="4"/>
      <c r="F14" s="4"/>
      <c r="G14" s="4"/>
      <c r="H14" s="4"/>
      <c r="I14" s="4"/>
      <c r="J14" s="4"/>
      <c r="K14" s="4"/>
      <c r="L14" s="4"/>
      <c r="M14" s="4"/>
      <c r="N14" s="4"/>
      <c r="O14" s="4"/>
      <c r="P14" s="4"/>
      <c r="Q14" s="4"/>
      <c r="R14" s="4"/>
    </row>
    <row r="15" spans="1:18">
      <c r="A15" s="4"/>
      <c r="B15" s="4"/>
      <c r="C15" s="4"/>
      <c r="D15" s="4"/>
      <c r="E15" s="4"/>
      <c r="F15" s="4"/>
      <c r="G15" s="4"/>
      <c r="H15" s="4"/>
      <c r="I15" s="4"/>
      <c r="J15" s="4"/>
      <c r="K15" s="4"/>
      <c r="L15" s="4"/>
      <c r="M15" s="4"/>
      <c r="N15" s="4"/>
      <c r="O15" s="4"/>
      <c r="P15" s="4"/>
      <c r="Q15" s="4"/>
      <c r="R15" s="4"/>
    </row>
    <row r="16" spans="1:18">
      <c r="A16" s="4"/>
      <c r="B16" s="4"/>
      <c r="C16" s="4"/>
      <c r="D16" s="4"/>
      <c r="E16" s="4"/>
      <c r="F16" s="4"/>
      <c r="G16" s="4"/>
      <c r="H16" s="4"/>
      <c r="I16" s="4"/>
      <c r="J16" s="4"/>
      <c r="K16" s="4"/>
      <c r="L16" s="4"/>
      <c r="M16" s="4"/>
      <c r="N16" s="4"/>
      <c r="O16" s="4"/>
      <c r="P16" s="4"/>
      <c r="Q16" s="4"/>
      <c r="R16" s="4"/>
    </row>
    <row r="17" spans="1:18">
      <c r="A17" s="4"/>
      <c r="B17" s="4"/>
      <c r="C17" s="4"/>
      <c r="D17" s="4"/>
      <c r="E17" s="4"/>
      <c r="F17" s="4"/>
      <c r="G17" s="4"/>
      <c r="H17" s="4"/>
      <c r="I17" s="4"/>
      <c r="J17" s="4"/>
      <c r="K17" s="4"/>
      <c r="L17" s="4"/>
      <c r="M17" s="4"/>
      <c r="N17" s="4"/>
      <c r="O17" s="4"/>
      <c r="P17" s="4"/>
      <c r="Q17" s="4"/>
      <c r="R17" s="4"/>
    </row>
    <row r="18" spans="1:18">
      <c r="A18" s="4"/>
      <c r="B18" s="4"/>
      <c r="C18" s="4"/>
      <c r="D18" s="4"/>
      <c r="E18" s="4"/>
      <c r="F18" s="4"/>
      <c r="G18" s="4"/>
      <c r="H18" s="4"/>
      <c r="I18" s="4"/>
      <c r="J18" s="4"/>
      <c r="K18" s="4"/>
      <c r="L18" s="4"/>
      <c r="M18" s="4"/>
      <c r="N18" s="4"/>
      <c r="O18" s="4"/>
      <c r="P18" s="4"/>
      <c r="Q18" s="4"/>
      <c r="R18" s="4"/>
    </row>
    <row r="19" spans="1:18">
      <c r="A19" s="4"/>
      <c r="B19" s="4"/>
      <c r="C19" s="4"/>
      <c r="D19" s="4"/>
      <c r="E19" s="4"/>
      <c r="F19" s="4"/>
      <c r="G19" s="4"/>
      <c r="H19" s="4"/>
      <c r="I19" s="4"/>
      <c r="J19" s="4"/>
      <c r="K19" s="4"/>
      <c r="L19" s="4"/>
      <c r="M19" s="4"/>
      <c r="N19" s="4"/>
      <c r="O19" s="4"/>
      <c r="P19" s="4"/>
      <c r="Q19" s="4"/>
      <c r="R19" s="4"/>
    </row>
    <row r="20" spans="1:18">
      <c r="A20" s="4"/>
      <c r="B20" s="4"/>
      <c r="C20" s="4"/>
      <c r="D20" s="4"/>
      <c r="E20" s="4"/>
      <c r="F20" s="4"/>
      <c r="G20" s="4"/>
      <c r="H20" s="4"/>
      <c r="I20" s="4"/>
      <c r="J20" s="4"/>
      <c r="K20" s="4"/>
      <c r="L20" s="4"/>
      <c r="M20" s="4"/>
      <c r="N20" s="4"/>
      <c r="O20" s="4"/>
      <c r="P20" s="4"/>
      <c r="Q20" s="4"/>
      <c r="R20" s="4"/>
    </row>
    <row r="21" spans="1:18">
      <c r="A21" s="4"/>
      <c r="B21" s="4"/>
      <c r="C21" s="4"/>
      <c r="D21" s="4"/>
      <c r="E21" s="4"/>
      <c r="F21" s="4"/>
      <c r="G21" s="4"/>
      <c r="H21" s="4"/>
      <c r="I21" s="4"/>
      <c r="J21" s="4"/>
      <c r="K21" s="4"/>
      <c r="L21" s="4"/>
      <c r="M21" s="4"/>
      <c r="N21" s="4"/>
      <c r="O21" s="4"/>
      <c r="P21" s="4"/>
      <c r="Q21" s="4"/>
      <c r="R21" s="4"/>
    </row>
    <row r="22" spans="1:18">
      <c r="A22" s="4"/>
      <c r="B22" s="4"/>
      <c r="C22" s="4"/>
      <c r="D22" s="4"/>
      <c r="E22" s="4"/>
      <c r="F22" s="4"/>
      <c r="G22" s="4"/>
      <c r="H22" s="4"/>
      <c r="I22" s="4"/>
      <c r="J22" s="4"/>
      <c r="K22" s="4"/>
      <c r="L22" s="4"/>
      <c r="M22" s="4"/>
      <c r="N22" s="4"/>
      <c r="O22" s="4"/>
      <c r="P22" s="4"/>
      <c r="Q22" s="4"/>
      <c r="R22" s="4"/>
    </row>
    <row r="23" spans="1:18">
      <c r="A23" s="4"/>
      <c r="B23" s="4"/>
      <c r="C23" s="4"/>
      <c r="D23" s="4"/>
      <c r="E23" s="4"/>
      <c r="F23" s="4"/>
      <c r="G23" s="4"/>
      <c r="H23" s="4"/>
      <c r="I23" s="4"/>
      <c r="J23" s="4"/>
      <c r="K23" s="4"/>
      <c r="L23" s="4"/>
      <c r="M23" s="4"/>
      <c r="N23" s="4"/>
      <c r="O23" s="4"/>
      <c r="P23" s="4"/>
      <c r="Q23" s="4"/>
      <c r="R23" s="4"/>
    </row>
    <row r="24" spans="1:18">
      <c r="A24" s="4"/>
      <c r="B24" s="4"/>
      <c r="C24" s="4"/>
      <c r="D24" s="4"/>
      <c r="E24" s="4"/>
      <c r="F24" s="4"/>
      <c r="G24" s="4"/>
      <c r="H24" s="4"/>
      <c r="I24" s="4"/>
      <c r="J24" s="4"/>
      <c r="K24" s="4"/>
      <c r="L24" s="4"/>
      <c r="M24" s="4"/>
      <c r="N24" s="4"/>
      <c r="O24" s="4"/>
      <c r="P24" s="4"/>
      <c r="Q24" s="4"/>
      <c r="R24" s="4"/>
    </row>
    <row r="25" spans="1:18">
      <c r="A25" s="4"/>
      <c r="B25" s="4"/>
      <c r="C25" s="4"/>
      <c r="D25" s="4"/>
      <c r="E25" s="4"/>
      <c r="F25" s="4"/>
      <c r="G25" s="4"/>
      <c r="H25" s="4"/>
      <c r="I25" s="4"/>
      <c r="J25" s="4"/>
      <c r="K25" s="4"/>
      <c r="L25" s="4"/>
      <c r="M25" s="4"/>
      <c r="N25" s="4"/>
      <c r="O25" s="4"/>
      <c r="P25" s="4"/>
      <c r="Q25" s="4"/>
      <c r="R25" s="4"/>
    </row>
    <row r="26" spans="1:18">
      <c r="A26" s="4"/>
      <c r="B26" s="4"/>
      <c r="C26" s="4"/>
      <c r="D26" s="4"/>
      <c r="E26" s="4"/>
      <c r="F26" s="4"/>
      <c r="G26" s="4"/>
      <c r="H26" s="4"/>
      <c r="I26" s="4"/>
      <c r="J26" s="4"/>
      <c r="K26" s="4"/>
      <c r="L26" s="4"/>
      <c r="M26" s="4"/>
      <c r="N26" s="4"/>
      <c r="O26" s="4"/>
      <c r="P26" s="4"/>
      <c r="Q26" s="4"/>
      <c r="R26" s="4"/>
    </row>
    <row r="27" spans="1:18">
      <c r="A27" s="4"/>
      <c r="B27" s="4"/>
      <c r="C27" s="4"/>
      <c r="D27" s="4"/>
      <c r="E27" s="4"/>
      <c r="F27" s="4"/>
      <c r="G27" s="4"/>
      <c r="H27" s="4"/>
      <c r="I27" s="4"/>
      <c r="J27" s="4"/>
      <c r="K27" s="4"/>
      <c r="L27" s="4"/>
      <c r="M27" s="4"/>
      <c r="N27" s="4"/>
      <c r="O27" s="4"/>
      <c r="P27" s="4"/>
      <c r="Q27" s="4"/>
      <c r="R27" s="4"/>
    </row>
    <row r="28" spans="1:18">
      <c r="A28" s="4"/>
      <c r="B28" s="4"/>
      <c r="C28" s="4"/>
      <c r="D28" s="4"/>
      <c r="E28" s="4"/>
      <c r="F28" s="4"/>
      <c r="G28" s="4"/>
      <c r="H28" s="4"/>
      <c r="I28" s="4"/>
      <c r="J28" s="4"/>
      <c r="K28" s="4"/>
      <c r="L28" s="4"/>
      <c r="M28" s="4"/>
      <c r="N28" s="4"/>
      <c r="O28" s="4"/>
      <c r="P28" s="4"/>
      <c r="Q28" s="4"/>
      <c r="R28" s="4"/>
    </row>
    <row r="29" spans="1:18">
      <c r="A29" s="4"/>
      <c r="B29" s="4"/>
      <c r="C29" s="4"/>
      <c r="D29" s="4"/>
      <c r="E29" s="4"/>
      <c r="F29" s="4"/>
      <c r="G29" s="4"/>
      <c r="H29" s="4"/>
      <c r="I29" s="4"/>
      <c r="J29" s="4"/>
      <c r="K29" s="4"/>
      <c r="L29" s="4"/>
      <c r="M29" s="4"/>
      <c r="N29" s="4"/>
      <c r="O29" s="4"/>
      <c r="P29" s="4"/>
      <c r="Q29" s="4"/>
      <c r="R29" s="4"/>
    </row>
    <row r="30" spans="1:18">
      <c r="A30" s="4"/>
      <c r="B30" s="4"/>
      <c r="C30" s="4"/>
      <c r="D30" s="4"/>
      <c r="E30" s="4"/>
      <c r="F30" s="4"/>
      <c r="G30" s="4"/>
      <c r="H30" s="4"/>
      <c r="I30" s="4"/>
      <c r="J30" s="4"/>
      <c r="K30" s="4"/>
      <c r="L30" s="4"/>
      <c r="M30" s="4"/>
      <c r="N30" s="4"/>
      <c r="O30" s="4"/>
      <c r="P30" s="4"/>
      <c r="Q30" s="4"/>
      <c r="R30" s="4"/>
    </row>
    <row r="31" spans="1:18">
      <c r="A31" s="4"/>
      <c r="B31" s="4"/>
      <c r="C31" s="4"/>
      <c r="D31" s="4"/>
      <c r="E31" s="4"/>
      <c r="F31" s="4"/>
      <c r="G31" s="4"/>
      <c r="H31" s="4"/>
      <c r="I31" s="4"/>
      <c r="J31" s="4"/>
      <c r="K31" s="4"/>
      <c r="L31" s="4"/>
      <c r="M31" s="4"/>
      <c r="N31" s="4"/>
      <c r="O31" s="4"/>
      <c r="P31" s="4"/>
      <c r="Q31" s="4"/>
      <c r="R31" s="4"/>
    </row>
    <row r="32" spans="1:18">
      <c r="A32" s="4"/>
      <c r="B32" s="4"/>
      <c r="C32" s="4"/>
      <c r="D32" s="4"/>
      <c r="E32" s="4"/>
      <c r="F32" s="4"/>
      <c r="G32" s="4"/>
      <c r="H32" s="4"/>
      <c r="I32" s="4"/>
      <c r="J32" s="4"/>
      <c r="K32" s="4"/>
      <c r="L32" s="4"/>
      <c r="M32" s="4"/>
      <c r="N32" s="4"/>
      <c r="O32" s="4"/>
      <c r="P32" s="4"/>
      <c r="Q32" s="4"/>
      <c r="R32" s="4"/>
    </row>
    <row r="33" spans="1:18">
      <c r="A33" s="4"/>
      <c r="B33" s="4"/>
      <c r="C33" s="4"/>
      <c r="D33" s="4"/>
      <c r="E33" s="4"/>
      <c r="F33" s="4"/>
      <c r="G33" s="4"/>
      <c r="H33" s="4"/>
      <c r="I33" s="4"/>
      <c r="J33" s="4"/>
      <c r="K33" s="4"/>
      <c r="L33" s="4"/>
      <c r="M33" s="4"/>
      <c r="N33" s="4"/>
      <c r="O33" s="4"/>
      <c r="P33" s="4"/>
      <c r="Q33" s="4"/>
      <c r="R33" s="4"/>
    </row>
    <row r="34" spans="1:18">
      <c r="A34" s="4"/>
      <c r="B34" s="4"/>
      <c r="C34" s="4"/>
      <c r="D34" s="4"/>
      <c r="E34" s="4"/>
      <c r="F34" s="4"/>
      <c r="G34" s="4"/>
      <c r="H34" s="4"/>
      <c r="I34" s="4"/>
      <c r="J34" s="4"/>
      <c r="K34" s="4"/>
      <c r="L34" s="4"/>
      <c r="M34" s="4"/>
      <c r="N34" s="4"/>
      <c r="O34" s="4"/>
      <c r="P34" s="4"/>
      <c r="Q34" s="4"/>
      <c r="R34" s="4"/>
    </row>
    <row r="35" spans="1:18">
      <c r="A35" s="4"/>
      <c r="B35" s="4"/>
      <c r="C35" s="4"/>
      <c r="D35" s="4"/>
      <c r="E35" s="4"/>
      <c r="F35" s="4"/>
      <c r="G35" s="4"/>
      <c r="H35" s="4"/>
      <c r="I35" s="4"/>
      <c r="J35" s="4"/>
      <c r="K35" s="4"/>
      <c r="L35" s="4"/>
      <c r="M35" s="4"/>
      <c r="N35" s="4"/>
      <c r="O35" s="4"/>
      <c r="P35" s="4"/>
      <c r="Q35" s="4"/>
      <c r="R35" s="4"/>
    </row>
    <row r="36" spans="1:18">
      <c r="A36" s="4"/>
      <c r="B36" s="4"/>
      <c r="C36" s="4"/>
      <c r="D36" s="4"/>
      <c r="E36" s="4"/>
      <c r="F36" s="4"/>
      <c r="G36" s="4"/>
      <c r="H36" s="4"/>
      <c r="I36" s="4"/>
      <c r="J36" s="4"/>
      <c r="K36" s="4"/>
      <c r="L36" s="4"/>
      <c r="M36" s="4"/>
      <c r="N36" s="4"/>
      <c r="O36" s="4"/>
      <c r="P36" s="4"/>
      <c r="Q36" s="4"/>
      <c r="R36" s="4"/>
    </row>
    <row r="37" spans="1:18">
      <c r="A37" s="4"/>
      <c r="B37" s="4"/>
      <c r="C37" s="4"/>
      <c r="D37" s="4"/>
      <c r="E37" s="4"/>
      <c r="F37" s="4"/>
      <c r="G37" s="4"/>
      <c r="H37" s="4"/>
      <c r="I37" s="4"/>
      <c r="J37" s="4"/>
      <c r="K37" s="4"/>
      <c r="L37" s="4"/>
      <c r="M37" s="4"/>
      <c r="N37" s="4"/>
      <c r="O37" s="4"/>
      <c r="P37" s="4"/>
      <c r="Q37" s="4"/>
      <c r="R37" s="4"/>
    </row>
    <row r="38" spans="1:18">
      <c r="A38" s="4"/>
      <c r="B38" s="4"/>
      <c r="C38" s="4"/>
      <c r="D38" s="4"/>
      <c r="E38" s="4"/>
      <c r="F38" s="4"/>
      <c r="G38" s="4"/>
      <c r="H38" s="4"/>
      <c r="I38" s="4"/>
      <c r="J38" s="4"/>
      <c r="K38" s="4"/>
      <c r="L38" s="4"/>
      <c r="M38" s="4"/>
      <c r="N38" s="4"/>
      <c r="O38" s="4"/>
      <c r="P38" s="4"/>
      <c r="Q38" s="4"/>
      <c r="R38" s="4"/>
    </row>
    <row r="39" spans="1:18">
      <c r="A39" s="4"/>
      <c r="B39" s="4"/>
      <c r="C39" s="4"/>
      <c r="D39" s="4"/>
      <c r="E39" s="4"/>
      <c r="F39" s="4"/>
      <c r="G39" s="4"/>
      <c r="H39" s="4"/>
      <c r="I39" s="4"/>
      <c r="J39" s="4"/>
      <c r="K39" s="4"/>
      <c r="L39" s="4"/>
      <c r="M39" s="4"/>
      <c r="N39" s="4"/>
      <c r="O39" s="4"/>
      <c r="P39" s="4"/>
      <c r="Q39" s="4"/>
      <c r="R39" s="4"/>
    </row>
    <row r="40" spans="1:18">
      <c r="A40" s="4"/>
      <c r="B40" s="4"/>
      <c r="C40" s="4"/>
      <c r="D40" s="4"/>
      <c r="E40" s="4"/>
      <c r="F40" s="4"/>
      <c r="G40" s="4"/>
      <c r="H40" s="4"/>
      <c r="I40" s="4"/>
      <c r="J40" s="4"/>
      <c r="K40" s="4"/>
      <c r="L40" s="4"/>
      <c r="M40" s="4"/>
      <c r="N40" s="4"/>
      <c r="O40" s="4"/>
      <c r="P40" s="4"/>
      <c r="Q40" s="4"/>
      <c r="R40" s="4"/>
    </row>
    <row r="41" spans="1:18">
      <c r="A41" s="4"/>
      <c r="B41" s="4"/>
      <c r="C41" s="4"/>
      <c r="D41" s="4"/>
      <c r="E41" s="4"/>
      <c r="F41" s="4"/>
      <c r="G41" s="4"/>
      <c r="H41" s="4"/>
      <c r="I41" s="4"/>
      <c r="J41" s="4"/>
      <c r="K41" s="4"/>
      <c r="L41" s="4"/>
      <c r="M41" s="4"/>
      <c r="N41" s="4"/>
      <c r="O41" s="4"/>
      <c r="P41" s="4"/>
      <c r="Q41" s="4"/>
      <c r="R41" s="4"/>
    </row>
    <row r="42" spans="1:18">
      <c r="A42" s="4"/>
      <c r="B42" s="4"/>
      <c r="C42" s="4"/>
      <c r="D42" s="4"/>
      <c r="E42" s="4"/>
      <c r="F42" s="4"/>
      <c r="G42" s="4"/>
      <c r="H42" s="4"/>
      <c r="I42" s="4"/>
      <c r="J42" s="4"/>
      <c r="K42" s="4"/>
      <c r="L42" s="4"/>
      <c r="M42" s="4"/>
      <c r="N42" s="4"/>
      <c r="O42" s="4"/>
      <c r="P42" s="4"/>
      <c r="Q42" s="4"/>
      <c r="R42" s="4"/>
    </row>
    <row r="43" spans="1:18">
      <c r="A43" s="4"/>
      <c r="B43" s="4"/>
      <c r="C43" s="4"/>
      <c r="D43" s="4"/>
      <c r="E43" s="4"/>
      <c r="F43" s="4"/>
      <c r="G43" s="4"/>
      <c r="H43" s="4"/>
      <c r="I43" s="4"/>
      <c r="J43" s="4"/>
      <c r="K43" s="4"/>
      <c r="L43" s="4"/>
      <c r="M43" s="4"/>
      <c r="N43" s="4"/>
      <c r="O43" s="4"/>
      <c r="P43" s="4"/>
      <c r="Q43" s="4"/>
      <c r="R43" s="4"/>
    </row>
    <row r="44" spans="1:18">
      <c r="A44" s="4"/>
      <c r="B44" s="4"/>
      <c r="C44" s="4"/>
      <c r="D44" s="4"/>
      <c r="E44" s="4"/>
      <c r="F44" s="4"/>
      <c r="G44" s="4"/>
      <c r="H44" s="4"/>
      <c r="I44" s="4"/>
      <c r="J44" s="4"/>
      <c r="K44" s="4"/>
      <c r="L44" s="4"/>
      <c r="M44" s="4"/>
      <c r="N44" s="4"/>
      <c r="O44" s="4"/>
      <c r="P44" s="4"/>
      <c r="Q44" s="4"/>
      <c r="R44" s="4"/>
    </row>
    <row r="45" spans="1:18">
      <c r="A45" s="4"/>
      <c r="B45" s="4"/>
      <c r="C45" s="4"/>
      <c r="D45" s="4"/>
      <c r="E45" s="4"/>
      <c r="F45" s="4"/>
      <c r="G45" s="4"/>
      <c r="H45" s="4"/>
      <c r="I45" s="4"/>
      <c r="J45" s="4"/>
      <c r="K45" s="4"/>
      <c r="L45" s="4"/>
      <c r="M45" s="4"/>
      <c r="N45" s="4"/>
      <c r="O45" s="4"/>
      <c r="P45" s="4"/>
      <c r="Q45" s="4"/>
      <c r="R45" s="4"/>
    </row>
    <row r="46" spans="1:18">
      <c r="A46" s="4"/>
      <c r="B46" s="4"/>
      <c r="C46" s="4"/>
      <c r="D46" s="4"/>
      <c r="E46" s="4"/>
      <c r="F46" s="4"/>
      <c r="G46" s="4"/>
      <c r="H46" s="4"/>
      <c r="I46" s="4"/>
      <c r="J46" s="4"/>
      <c r="K46" s="4"/>
      <c r="L46" s="4"/>
      <c r="M46" s="4"/>
      <c r="N46" s="4"/>
      <c r="O46" s="4"/>
      <c r="P46" s="4"/>
      <c r="Q46" s="4"/>
      <c r="R46" s="4"/>
    </row>
    <row r="47" spans="1:18">
      <c r="A47" s="4"/>
      <c r="B47" s="4"/>
      <c r="C47" s="4"/>
      <c r="D47" s="4"/>
      <c r="E47" s="4"/>
      <c r="F47" s="4"/>
      <c r="G47" s="4"/>
      <c r="H47" s="4"/>
      <c r="I47" s="4"/>
      <c r="J47" s="4"/>
      <c r="K47" s="4"/>
      <c r="L47" s="4"/>
      <c r="M47" s="4"/>
      <c r="N47" s="4"/>
      <c r="O47" s="4"/>
      <c r="P47" s="4"/>
      <c r="Q47" s="4"/>
      <c r="R47" s="4"/>
    </row>
    <row r="48" spans="1:18">
      <c r="A48" s="4"/>
      <c r="B48" s="4"/>
      <c r="C48" s="4"/>
      <c r="D48" s="4"/>
      <c r="E48" s="4"/>
      <c r="F48" s="4"/>
      <c r="G48" s="4"/>
      <c r="H48" s="4"/>
      <c r="I48" s="4"/>
      <c r="J48" s="4"/>
      <c r="K48" s="4"/>
      <c r="L48" s="4"/>
      <c r="M48" s="4"/>
      <c r="N48" s="4"/>
      <c r="O48" s="4"/>
      <c r="P48" s="4"/>
      <c r="Q48" s="4"/>
      <c r="R48" s="4"/>
    </row>
    <row r="49" spans="1:18">
      <c r="A49" s="4"/>
      <c r="B49" s="4"/>
      <c r="C49" s="4"/>
      <c r="D49" s="4"/>
      <c r="E49" s="4"/>
      <c r="F49" s="4"/>
      <c r="G49" s="4"/>
      <c r="H49" s="4"/>
      <c r="I49" s="4"/>
      <c r="J49" s="4"/>
      <c r="K49" s="4"/>
      <c r="L49" s="4"/>
      <c r="M49" s="4"/>
      <c r="N49" s="4"/>
      <c r="O49" s="4"/>
      <c r="P49" s="4"/>
      <c r="Q49" s="4"/>
      <c r="R49" s="4"/>
    </row>
    <row r="50" spans="1:18">
      <c r="A50" s="4"/>
      <c r="B50" s="4"/>
      <c r="C50" s="4"/>
      <c r="D50" s="4"/>
      <c r="E50" s="4"/>
      <c r="F50" s="4"/>
      <c r="G50" s="4"/>
      <c r="H50" s="4"/>
      <c r="I50" s="4"/>
      <c r="J50" s="4"/>
      <c r="K50" s="4"/>
      <c r="L50" s="4"/>
      <c r="M50" s="4"/>
      <c r="N50" s="4"/>
      <c r="O50" s="4"/>
      <c r="P50" s="4"/>
      <c r="Q50" s="4"/>
      <c r="R50" s="4"/>
    </row>
    <row r="51" spans="1:18">
      <c r="A51" s="4"/>
      <c r="B51" s="4"/>
      <c r="C51" s="4"/>
      <c r="D51" s="4"/>
      <c r="E51" s="4"/>
      <c r="F51" s="4"/>
      <c r="G51" s="4"/>
      <c r="H51" s="4"/>
      <c r="I51" s="4"/>
      <c r="J51" s="4"/>
      <c r="K51" s="4"/>
      <c r="L51" s="4"/>
      <c r="M51" s="4"/>
      <c r="N51" s="4"/>
      <c r="O51" s="4"/>
      <c r="P51" s="4"/>
      <c r="Q51" s="4"/>
      <c r="R51" s="4"/>
    </row>
    <row r="52" spans="1:18">
      <c r="A52" s="4"/>
      <c r="B52" s="4"/>
      <c r="C52" s="4"/>
      <c r="D52" s="4"/>
      <c r="E52" s="4"/>
      <c r="F52" s="4"/>
      <c r="G52" s="4"/>
      <c r="H52" s="4"/>
      <c r="I52" s="4"/>
      <c r="J52" s="4"/>
      <c r="K52" s="4"/>
      <c r="L52" s="4"/>
      <c r="M52" s="4"/>
      <c r="N52" s="4"/>
      <c r="O52" s="4"/>
      <c r="P52" s="4"/>
      <c r="Q52" s="4"/>
      <c r="R52" s="4"/>
    </row>
    <row r="53" spans="1:18">
      <c r="A53" s="4"/>
      <c r="B53" s="4"/>
      <c r="C53" s="4"/>
      <c r="D53" s="4"/>
      <c r="E53" s="4"/>
      <c r="F53" s="4"/>
      <c r="G53" s="4"/>
      <c r="H53" s="4"/>
      <c r="I53" s="4"/>
      <c r="J53" s="4"/>
      <c r="K53" s="4"/>
      <c r="L53" s="4"/>
      <c r="M53" s="4"/>
      <c r="N53" s="4"/>
      <c r="O53" s="4"/>
      <c r="P53" s="4"/>
      <c r="Q53" s="4"/>
      <c r="R53" s="4"/>
    </row>
    <row r="54" spans="1:18">
      <c r="A54" s="4"/>
      <c r="B54" s="4"/>
      <c r="C54" s="4"/>
      <c r="D54" s="4"/>
      <c r="E54" s="4"/>
      <c r="F54" s="4"/>
      <c r="G54" s="4"/>
      <c r="H54" s="4"/>
      <c r="I54" s="4"/>
      <c r="J54" s="4"/>
      <c r="K54" s="4"/>
      <c r="L54" s="4"/>
      <c r="M54" s="4"/>
      <c r="N54" s="4"/>
      <c r="O54" s="4"/>
      <c r="P54" s="4"/>
      <c r="Q54" s="4"/>
      <c r="R54" s="4"/>
    </row>
    <row r="55" spans="1:18">
      <c r="A55" s="4"/>
      <c r="B55" s="4"/>
      <c r="C55" s="4"/>
      <c r="D55" s="4"/>
      <c r="E55" s="4"/>
      <c r="F55" s="4"/>
      <c r="G55" s="4"/>
      <c r="H55" s="4"/>
      <c r="I55" s="4"/>
      <c r="J55" s="4"/>
      <c r="K55" s="4"/>
      <c r="L55" s="4"/>
      <c r="M55" s="4"/>
      <c r="N55" s="4"/>
      <c r="O55" s="4"/>
      <c r="P55" s="4"/>
      <c r="Q55" s="4"/>
      <c r="R55" s="4"/>
    </row>
    <row r="56" spans="1:18">
      <c r="A56" s="4"/>
      <c r="B56" s="4"/>
      <c r="C56" s="4"/>
      <c r="D56" s="4"/>
      <c r="E56" s="4"/>
      <c r="F56" s="4"/>
      <c r="G56" s="4"/>
      <c r="H56" s="4"/>
      <c r="I56" s="4"/>
      <c r="J56" s="4"/>
      <c r="K56" s="4"/>
      <c r="L56" s="4"/>
      <c r="M56" s="4"/>
      <c r="N56" s="4"/>
      <c r="O56" s="4"/>
      <c r="P56" s="4"/>
      <c r="Q56" s="4"/>
      <c r="R56" s="4"/>
    </row>
    <row r="57" spans="1:18">
      <c r="A57" s="4"/>
      <c r="B57" s="4"/>
      <c r="C57" s="4"/>
      <c r="D57" s="4"/>
      <c r="E57" s="4"/>
      <c r="F57" s="4"/>
      <c r="G57" s="4"/>
      <c r="H57" s="4"/>
      <c r="I57" s="4"/>
      <c r="J57" s="4"/>
      <c r="K57" s="4"/>
      <c r="L57" s="4"/>
      <c r="M57" s="4"/>
      <c r="N57" s="4"/>
      <c r="O57" s="4"/>
      <c r="P57" s="4"/>
      <c r="Q57" s="4"/>
      <c r="R57" s="4"/>
    </row>
    <row r="58" spans="1:18">
      <c r="A58" s="4"/>
      <c r="B58" s="4"/>
      <c r="C58" s="4"/>
      <c r="D58" s="4"/>
      <c r="E58" s="4"/>
      <c r="F58" s="4"/>
      <c r="G58" s="4"/>
      <c r="H58" s="4"/>
      <c r="I58" s="4"/>
      <c r="J58" s="4"/>
      <c r="K58" s="4"/>
      <c r="L58" s="4"/>
      <c r="M58" s="4"/>
      <c r="N58" s="4"/>
      <c r="O58" s="4"/>
      <c r="P58" s="4"/>
      <c r="Q58" s="4"/>
      <c r="R5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Admin</cp:lastModifiedBy>
  <dcterms:created xsi:type="dcterms:W3CDTF">2024-12-11T17:14:33Z</dcterms:created>
  <dcterms:modified xsi:type="dcterms:W3CDTF">2025-09-21T10:13:59Z</dcterms:modified>
</cp:coreProperties>
</file>